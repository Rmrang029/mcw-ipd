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ts Tracker" sheetId="1" state="visible" r:id="rId3"/>
  </sheets>
  <definedNames>
    <definedName function="false" hidden="true" localSheetId="0" name="_xlnm._FilterDatabase" vbProcedure="false">'Comments Tracker'!$A$4:$L$34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<sst xmlns="http://schemas.openxmlformats.org/spreadsheetml/2006/main" count="321" uniqueCount="156">
  <si>
    <t xml:space="preserve">MCW VEC Website — Marketing Team Comments Tracker</t>
  </si>
  <si>
    <t xml:space="preserve">Summary</t>
  </si>
  <si>
    <t xml:space="preserve">Source: Adele Hillman feedback email — May 4, 2026  |  Status as of report generation</t>
  </si>
  <si>
    <t xml:space="preserve">Total comments</t>
  </si>
  <si>
    <t xml:space="preserve">High priority</t>
  </si>
  <si>
    <t xml:space="preserve">ID</t>
  </si>
  <si>
    <t xml:space="preserve">Date Received</t>
  </si>
  <si>
    <t xml:space="preserve">Reviewer</t>
  </si>
  <si>
    <t xml:space="preserve">Site Section</t>
  </si>
  <si>
    <t xml:space="preserve">Comment Category</t>
  </si>
  <si>
    <t xml:space="preserve">Comment Detail</t>
  </si>
  <si>
    <t xml:space="preserve">MCW Proposed Action / Response</t>
  </si>
  <si>
    <t xml:space="preserve">Owner</t>
  </si>
  <si>
    <t xml:space="preserve">Priority</t>
  </si>
  <si>
    <t xml:space="preserve">Status</t>
  </si>
  <si>
    <t xml:space="preserve">Date Updated</t>
  </si>
  <si>
    <t xml:space="preserve">Notes</t>
  </si>
  <si>
    <t xml:space="preserve">Med priority</t>
  </si>
  <si>
    <t xml:space="preserve">May 4, 2026</t>
  </si>
  <si>
    <t xml:space="preserve">Adele Hillman</t>
  </si>
  <si>
    <t xml:space="preserve">General</t>
  </si>
  <si>
    <t xml:space="preserve">Searchability</t>
  </si>
  <si>
    <t xml:space="preserve">How does this site work for open searchability (with the phone numbers and emails on there)?</t>
  </si>
  <si>
    <t xml:space="preserve">The site is password-gated (StaticCrypt, password mcw2026) and the gate page sets robots: noindex/nofollow. Phone numbers and emails are NOT publicly searchable while behind the gate. If we ever remove the gate, we should review email/phone visibility before going public.</t>
  </si>
  <si>
    <t xml:space="preserve">Collin</t>
  </si>
  <si>
    <t xml:space="preserve">Med</t>
  </si>
  <si>
    <t xml:space="preserve">Pending</t>
  </si>
  <si>
    <t xml:space="preserve">Low priority</t>
  </si>
  <si>
    <t xml:space="preserve">Target Audience</t>
  </si>
  <si>
    <t xml:space="preserve">Confirming Target Audience: GCs, Architects, Owners, Trade Contractors for BC Alternative Delivery Projects.</t>
  </si>
  <si>
    <t xml:space="preserve">Confirmed. Tone, content, and image selection across the site are written for this audience. Copy and structure should continue to reinforce this focus.</t>
  </si>
  <si>
    <t xml:space="preserve">Low</t>
  </si>
  <si>
    <t xml:space="preserve">Confirmed</t>
  </si>
  <si>
    <t xml:space="preserve">Brand</t>
  </si>
  <si>
    <t xml:space="preserve">Header logo spacing</t>
  </si>
  <si>
    <t xml:space="preserve">Add more space between the signature logo top left and 'MCW VEC Collaborative Delivery'.</t>
  </si>
  <si>
    <t xml:space="preserve">Done. Increased .brand gap from 0.7rem to 1.1rem in styles.css; CSS cache bumped to v=14.</t>
  </si>
  <si>
    <t xml:space="preserve">Collin (web)</t>
  </si>
  <si>
    <t xml:space="preserve">Updated</t>
  </si>
  <si>
    <t xml:space="preserve">Live after next push</t>
  </si>
  <si>
    <t xml:space="preserve">Header wordmark structure</t>
  </si>
  <si>
    <t xml:space="preserve">Instead of 'MCW VEC' / 'Collaborative Delivery', consider moving 'Collaborative Delivery' to top line and spelling out 'from Vancouver • Edmonton • Calgary' on the second line.</t>
  </si>
  <si>
    <t xml:space="preserve">Discuss with leadership. MCW VEC is recognizable internally; spelling out the cities is clearer for external audiences. Recommend testing both with the partners before implementing.</t>
  </si>
  <si>
    <t xml:space="preserve">Collin / Adele</t>
  </si>
  <si>
    <t xml:space="preserve">Brand decision</t>
  </si>
  <si>
    <t xml:space="preserve">Geography</t>
  </si>
  <si>
    <t xml:space="preserve">VEC vs national</t>
  </si>
  <si>
    <t xml:space="preserve">We say VEC throughout but homepage says 'national collaborative-delivery [...] from BC to Ontario' — so what geography are we actually going after?</t>
  </si>
  <si>
    <t xml:space="preserve">Done. Rewrote home.html lede to lead with VEC offices (Vancouver, Edmonton, Calgary), with 'supported by MCW's national bench when sector or scale calls for it.' Geography now reads 'Western Canada' instead of 'BC to Ontario'.</t>
  </si>
  <si>
    <t xml:space="preserve">High</t>
  </si>
  <si>
    <t xml:space="preserve">Won't Do</t>
  </si>
  <si>
    <t xml:space="preserve">Home</t>
  </si>
  <si>
    <t xml:space="preserve">Hero tagline 'design, decide, build'</t>
  </si>
  <si>
    <t xml:space="preserve">'A Collaborative Delivery partner who arrives ready to design, decide, and build.' — but we don't build. (No suggestion offered.)</t>
  </si>
  <si>
    <t xml:space="preserve">Done. Updated hero h1 from 'design, decide, and build' to 'design, decide, and deliver'. Open to alternative wording from leadership.</t>
  </si>
  <si>
    <t xml:space="preserve">Why MCW — Alliance</t>
  </si>
  <si>
    <t xml:space="preserve">'Why MCW for' — are we going to try to include Alliance?</t>
  </si>
  <si>
    <t xml:space="preserve">Discuss. Alliance contracting (true alliancing, not just IPD) is gaining traction in BC infrastructure. Recommend adding once MCW has a confirmed Alliance reference, otherwise list as 'in pursuit'.</t>
  </si>
  <si>
    <t xml:space="preserve">Need leadership input</t>
  </si>
  <si>
    <t xml:space="preserve">Footer</t>
  </si>
  <si>
    <t xml:space="preserve">Footer logo proportion</t>
  </si>
  <si>
    <t xml:space="preserve">Logo at bottom — need either the full Consultants Logo or more space between signature logo and the rest.</t>
  </si>
  <si>
    <t xml:space="preserve">Done (option B). Added .site-footer .brand override to gap 1.25rem in styles.css. If you prefer the full Consultants lockup PNG instead, send me the asset and I'll swap.</t>
  </si>
  <si>
    <t xml:space="preserve">Site map BC/AB on one line</t>
  </si>
  <si>
    <t xml:space="preserve">Site map: BC Team AB Team is on one line.</t>
  </si>
  <si>
    <t xml:space="preserve">Done. Added the missing &lt;/li&gt; between BC Team and AB Team links across all 36 pages with the bug.</t>
  </si>
  <si>
    <t xml:space="preserve">Approach</t>
  </si>
  <si>
    <t xml:space="preserve">P3 bridging work</t>
  </si>
  <si>
    <t xml:space="preserve">For P3s — we've done a fair bit of bridging work — does that affect things here?</t>
  </si>
  <si>
    <t xml:space="preserve">Done. Added bridging-consultant capability to the P3 description on approach.html: 'we have served as M&amp;E consultants on multiple Canadian P3 pursuits and bring substantial bridging-consultant experience for owners and proponents preparing or responding to P3 procurement documents.'</t>
  </si>
  <si>
    <t xml:space="preserve">PIT acronym</t>
  </si>
  <si>
    <t xml:space="preserve">PIT — is the acronym Process Improvement Teams or Project Implementation Team?</t>
  </si>
  <si>
    <t xml:space="preserve">Done. Standardized to 'Project Implementation Teams (PITs)' on approach.html (was 'Process Improvement Teams'). This now matches the Kamloops project page and IPD industry standard.</t>
  </si>
  <si>
    <t xml:space="preserve">EGBC → generic</t>
  </si>
  <si>
    <t xml:space="preserve">Standards we work under — you list EGBC — can we make this generic to licensed to work across Canada or something?</t>
  </si>
  <si>
    <t xml:space="preserve">Done. Replaced 'Engineers and Geoscientists BC' with 'Licensed to practice across Canada (EGBC, APEGA, APEGS, PEO and equivalents), with engineers stamping per local jurisdiction.'</t>
  </si>
  <si>
    <t xml:space="preserve">Experience</t>
  </si>
  <si>
    <t xml:space="preserve">Image permissions</t>
  </si>
  <si>
    <t xml:space="preserve">Images — if this isn't searchable, I have little concern on image licensing. If it's something that will be searchable or sharable, ensure we have the right permissions (KCA, Burnaby, Langley in particular).</t>
  </si>
  <si>
    <t xml:space="preserve">Action required only if site goes public. Currently password-gated, so images are not publicly indexed. If we ever go public, audit image permissions for KCA, Burnaby RCMP, and Langley Fire Hall renderings.</t>
  </si>
  <si>
    <t xml:space="preserve">Conditional on going public</t>
  </si>
  <si>
    <t xml:space="preserve">Project QA/QC</t>
  </si>
  <si>
    <t xml:space="preserve">I have not gone through the projects as a QA/QC. If that needs to be done I'll ask Ashley or Bhavina.</t>
  </si>
  <si>
    <t xml:space="preserve">Accept. Engage Ashley or Bhavina for technical QA/QC pass on all 31 project profiles before this site is shared with clients. Especially important for the 4 mcw.com-only confirmed projects (Kanata, GO Whitby, GO Streetsville, Ajax GO).</t>
  </si>
  <si>
    <t xml:space="preserve">Adele to engage Ashley/Bhavina</t>
  </si>
  <si>
    <t xml:space="preserve">Pre-share gate</t>
  </si>
  <si>
    <t xml:space="preserve">BC Team</t>
  </si>
  <si>
    <t xml:space="preserve">Graham IPD experience</t>
  </si>
  <si>
    <t xml:space="preserve">Graham's [bio] doesn't reference his IPD experience.</t>
  </si>
  <si>
    <t xml:space="preserve">Accept. Update Graham's bc-team.html bio to call out specific IPD project work and his role under collaborative delivery agreements.</t>
  </si>
  <si>
    <t xml:space="preserve">Need IPD project list from Graham</t>
  </si>
  <si>
    <t xml:space="preserve">Michael IPD experience</t>
  </si>
  <si>
    <t xml:space="preserve">[Michael's bio doesn't reference his IPD experience], same for Michael.</t>
  </si>
  <si>
    <t xml:space="preserve">Accept. Update Michael Driedger's bc-team.html bio to call out IPD experience including sustainability scope on collaborative-delivery projects.</t>
  </si>
  <si>
    <t xml:space="preserve">Need IPD project list from Michael</t>
  </si>
  <si>
    <t xml:space="preserve">Associates → PM umbrella</t>
  </si>
  <si>
    <t xml:space="preserve">Associates — not sure why we're including them as Associates instead of using a PM umbrella so we can show Kaan as well and his KCA stuff.</t>
  </si>
  <si>
    <t xml:space="preserve">Accept. Restructure BC Team page: replace 'Associates' grouping with 'Project Managers' umbrella, which lets us include Kaan (KCA project) alongside Melissa and Matt. Add Josh Tanner to the same group (per next comment).</t>
  </si>
  <si>
    <t xml:space="preserve">Need PM list + bios + headshots</t>
  </si>
  <si>
    <t xml:space="preserve">Missing Josh Tanner</t>
  </si>
  <si>
    <t xml:space="preserve">Also missing Josh Tanner.</t>
  </si>
  <si>
    <t xml:space="preserve">Accept. Add Josh Tanner to BC Team under PM/Associate group. Need bio + headshot.</t>
  </si>
  <si>
    <t xml:space="preserve">Collin to source content</t>
  </si>
  <si>
    <t xml:space="preserve">Need bio + headshot</t>
  </si>
  <si>
    <t xml:space="preserve">Vancouver staff count</t>
  </si>
  <si>
    <t xml:space="preserve">Staff count — you list 28 for Van but I think it's 64.</t>
  </si>
  <si>
    <t xml:space="preserve">Done. Found '28 staff' on bc-team.html National Bench section; corrected to '64 staff'.</t>
  </si>
  <si>
    <t xml:space="preserve">2 Associates → 3</t>
  </si>
  <si>
    <t xml:space="preserve">2 Associates — should be 3 (Josh).</t>
  </si>
  <si>
    <t xml:space="preserve">Accept. Resolved by 'Add Josh Tanner' action above. Once Josh is added, count goes from 2 to 3.</t>
  </si>
  <si>
    <t xml:space="preserve">Bundled with Josh add</t>
  </si>
  <si>
    <t xml:space="preserve">AB Team</t>
  </si>
  <si>
    <t xml:space="preserve">James — Status confirmation</t>
  </si>
  <si>
    <t xml:space="preserve">James — he needs to confirm he's OK with his Status being published there.</t>
  </si>
  <si>
    <t xml:space="preserve">Action required. Collin to confirm with James Furlong before this site is shared with anyone external. Until confirmed, consider removing 'Cowichan Tribes' from his credentials line.</t>
  </si>
  <si>
    <t xml:space="preserve">Collin to confirm with James</t>
  </si>
  <si>
    <t xml:space="preserve">Compliance / consent</t>
  </si>
  <si>
    <t xml:space="preserve">Sean P3 healthcare</t>
  </si>
  <si>
    <t xml:space="preserve">Sean — P3 experience could be called out for healthcare.</t>
  </si>
  <si>
    <t xml:space="preserve">Accept. Add to Sean Piper's bio: specific reference to his P3 healthcare experience.</t>
  </si>
  <si>
    <t xml:space="preserve">Need P3 healthcare project list from Sean</t>
  </si>
  <si>
    <t xml:space="preserve">Gus is a Principal</t>
  </si>
  <si>
    <t xml:space="preserve">Gus is a Principal.</t>
  </si>
  <si>
    <t xml:space="preserve">Accept and update. Currently listed as 'Senior Electrical / ICAT Lead'. Update to 'Principal'. Note: user previously confirmed the prior title was correct — reconcile internally with Adele before pushing.</t>
  </si>
  <si>
    <t xml:space="preserve">Collin (verify, then web)</t>
  </si>
  <si>
    <t xml:space="preserve">Title conflict to resolve</t>
  </si>
  <si>
    <t xml:space="preserve">Missing Calgary Principals</t>
  </si>
  <si>
    <t xml:space="preserve">Missing Shilpa, Kevin, &amp; Simon as Principals (if you were following BC format).</t>
  </si>
  <si>
    <t xml:space="preserve">Accept. Add Shilpa, Kevin, and Simon as Principals on the Calgary section of ab-team.html. Need bios + headshots for each.</t>
  </si>
  <si>
    <t xml:space="preserve">Adele to source content</t>
  </si>
  <si>
    <t xml:space="preserve">Need 3 bios + 3 headshots</t>
  </si>
  <si>
    <t xml:space="preserve">Todd LEED US/Can</t>
  </si>
  <si>
    <t xml:space="preserve">Todd — does LEED US/Can really matter?</t>
  </si>
  <si>
    <t xml:space="preserve">Discuss. User previously confirmed 'LEED AP (Canada and US)'. Adele questions whether US designation adds value for BC/AB clients. Recommend simplifying to 'LEED AP' unless Todd specifically wants to keep both.</t>
  </si>
  <si>
    <t xml:space="preserve">Collin to confirm with Todd</t>
  </si>
  <si>
    <t xml:space="preserve">Cosmetic</t>
  </si>
  <si>
    <t xml:space="preserve">Missing Edmonton associates</t>
  </si>
  <si>
    <t xml:space="preserve">Paul Truong, Calvin Vander Leest are electrical associates [missing].</t>
  </si>
  <si>
    <t xml:space="preserve">Accept. Add Paul Truong and Calvin Vander Leest to Edmonton section as Electrical Associates. Need bios + headshots.</t>
  </si>
  <si>
    <t xml:space="preserve">Need 2 bios + 2 headshots</t>
  </si>
  <si>
    <t xml:space="preserve">Contact</t>
  </si>
  <si>
    <t xml:space="preserve">'What we will need' layout</t>
  </si>
  <si>
    <t xml:space="preserve">What we will need — change to short note on items on the right instead of below.</t>
  </si>
  <si>
    <t xml:space="preserve">Accept. Restructure 'What we will need' section on contact.html into a right-side aside (responsive sidebar) instead of a stacked block below the office cards.</t>
  </si>
  <si>
    <t xml:space="preserve">Layout change</t>
  </si>
  <si>
    <t xml:space="preserve">Map replacement</t>
  </si>
  <si>
    <t xml:space="preserve">Map — we have a better one I'll send separately.</t>
  </si>
  <si>
    <t xml:space="preserve">Defer until Adele sends the new map. Current Canada map is the user-supplied PNG with city dots overlaid.</t>
  </si>
  <si>
    <t xml:space="preserve">Adele to send</t>
  </si>
  <si>
    <t xml:space="preserve">Waiting on Adele</t>
  </si>
  <si>
    <t xml:space="preserve">Office order — Van first</t>
  </si>
  <si>
    <t xml:space="preserve">Location order — doesn't make sense to lead with TO when this is for BC opps — suggest putting Van first.</t>
  </si>
  <si>
    <t xml:space="preserve">Done. Reordered footer cities list across all 38 pages from 'Toronto • Vancouver • Calgary • Edmonton • Winnipeg • Ottawa • Saint John • Moncton • Halifax' to 'Vancouver • Edmonton • Calgary • Toronto • Winnipeg • Ottawa • Saint John • Moncton • Halifax' — VEC offices first, then national.</t>
  </si>
  <si>
    <t xml:space="preserve">Calgary healthcare callout</t>
  </si>
  <si>
    <t xml:space="preserve">Calgary — add healthcare alternative delivery to cover more sectors.</t>
  </si>
  <si>
    <t xml:space="preserve">Done. Added 'Calgary office sectors' callout under the partner contacts on the Calgary card: 'Healthcare alternative delivery, energy management and decarbonisation, education and post-secondary, commercial, retail, recreation, government, and First Nation projects.'</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</si>
</sst>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2"/>
      <color rgb="FFFFFFFF"/>
      <name val="Arial"/>
      <family val="0"/>
      <charset val="1"/>
    </font>
    <font>
      <i val="true"/>
      <sz val="10"/>
      <color rgb="FF333333"/>
      <name val="Arial"/>
      <family val="0"/>
      <charset val="1"/>
    </font>
    <font>
      <b val="true"/>
      <sz val="10"/>
      <name val="Arial"/>
      <family val="0"/>
      <charset val="1"/>
    </font>
    <font>
      <sz val="10"/>
      <name val="Arial"/>
      <family val="0"/>
      <charset val="1"/>
    </font>
    <font>
      <b val="true"/>
      <sz val="10"/>
      <color rgb="FFFFFFFF"/>
      <name val="Arial"/>
      <family val="0"/>
      <charset val="1"/>
    </font>
    <font>
      <b val="true"/>
      <sz val="10"/>
      <color rgb="FF996600"/>
      <name val="Arial"/>
      <family val="0"/>
      <charset val="1"/>
    </font>
    <font>
      <sz val="10"/>
      <color rgb="FF333333"/>
      <name val="Arial"/>
      <family val="0"/>
      <charset val="1"/>
    </font>
    <font>
      <b val="true"/>
      <sz val="10"/>
      <color rgb="FF00723A"/>
      <name val="Arial"/>
      <family val="0"/>
      <charset val="1"/>
    </font>
    <font>
      <b val="true"/>
      <sz val="10"/>
      <color rgb="FFB30000"/>
      <name val="Arial"/>
      <family val="0"/>
      <charset val="1"/>
    </font>
  </fonts>
  <fills count="8">
    <fill>
      <patternFill patternType="none"/>
    </fill>
    <fill>
      <patternFill patternType="gray125"/>
    </fill>
    <fill>
      <patternFill patternType="solid">
        <fgColor rgb="FF00863F"/>
        <bgColor rgb="FF00723A"/>
      </patternFill>
    </fill>
    <fill>
      <patternFill patternType="solid">
        <fgColor rgb="FFE8F5EE"/>
        <bgColor rgb="FFF2F2F2"/>
      </patternFill>
    </fill>
    <fill>
      <patternFill patternType="solid">
        <fgColor rgb="FF00723A"/>
        <bgColor rgb="FF00863F"/>
      </patternFill>
    </fill>
    <fill>
      <patternFill patternType="solid">
        <fgColor rgb="FFFFF4CC"/>
        <bgColor rgb="FFFCE7E7"/>
      </patternFill>
    </fill>
    <fill>
      <patternFill patternType="solid">
        <fgColor rgb="FFF2F2F2"/>
        <bgColor rgb="FFE8F5EE"/>
      </patternFill>
    </fill>
    <fill>
      <patternFill patternType="solid">
        <fgColor rgb="FFFCE7E7"/>
        <bgColor rgb="FFF2F2F2"/>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1" shrinkToFit="false"/>
      <protection locked="true" hidden="false"/>
    </xf>
    <xf numFmtId="164" fontId="7" fillId="3" borderId="1" xfId="0" applyFont="true" applyBorder="true" applyAlignment="true" applyProtection="false">
      <alignment horizontal="left" vertical="bottom" textRotation="0" wrapText="false" indent="1"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left"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center" vertical="top" textRotation="0" wrapText="true" indent="0" shrinkToFit="false"/>
      <protection locked="true" hidden="false"/>
    </xf>
    <xf numFmtId="164" fontId="13" fillId="7"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0723A"/>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CE7E7"/>
          <bgColor rgb="FF000000"/>
        </patternFill>
      </fill>
    </dxf>
    <dxf>
      <fill>
        <patternFill patternType="solid">
          <fgColor rgb="FFFFF4CC"/>
          <bgColor rgb="FF000000"/>
        </patternFill>
      </fill>
    </dxf>
    <dxf>
      <fill>
        <patternFill patternType="solid">
          <fgColor rgb="FF333333"/>
          <bgColor rgb="FF000000"/>
        </patternFill>
      </fill>
    </dxf>
    <dxf>
      <fill>
        <patternFill patternType="solid">
          <fgColor rgb="FF996600"/>
          <bgColor rgb="FF000000"/>
        </patternFill>
      </fill>
    </dxf>
    <dxf>
      <fill>
        <patternFill patternType="solid">
          <fgColor rgb="FFB30000"/>
          <bgColor rgb="FF000000"/>
        </patternFill>
      </fill>
    </dxf>
    <dxf>
      <fill>
        <patternFill patternType="solid">
          <fgColor rgb="FFE8F5EE"/>
          <bgColor rgb="FF000000"/>
        </patternFill>
      </fill>
    </dxf>
  </dxfs>
  <colors>
    <indexedColors>
      <rgbColor rgb="FF000000"/>
      <rgbColor rgb="FFFFFFFF"/>
      <rgbColor rgb="FFFF0000"/>
      <rgbColor rgb="FF00FF00"/>
      <rgbColor rgb="FF0000FF"/>
      <rgbColor rgb="FFFFFF00"/>
      <rgbColor rgb="FFFF00FF"/>
      <rgbColor rgb="FF00FFFF"/>
      <rgbColor rgb="FFB30000"/>
      <rgbColor rgb="FF00863F"/>
      <rgbColor rgb="FF000080"/>
      <rgbColor rgb="FF996600"/>
      <rgbColor rgb="FF800080"/>
      <rgbColor rgb="FF00723A"/>
      <rgbColor rgb="FFCCCCCC"/>
      <rgbColor rgb="FF808080"/>
      <rgbColor rgb="FF9999FF"/>
      <rgbColor rgb="FF993366"/>
      <rgbColor rgb="FFFFF4CC"/>
      <rgbColor rgb="FFE8F5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CE7E7"/>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4"/>
    <col collapsed="false" customWidth="true" hidden="false" outlineLevel="0" max="4" min="4" style="0" width="16"/>
    <col collapsed="false" customWidth="true" hidden="false" outlineLevel="0" max="5" min="5" style="0" width="18"/>
    <col collapsed="false" customWidth="true" hidden="false" outlineLevel="0" max="7" min="6" style="0" width="60"/>
    <col collapsed="false" customWidth="true" hidden="false" outlineLevel="0" max="8" min="8" style="0" width="14"/>
    <col collapsed="false" customWidth="true" hidden="false" outlineLevel="0" max="9" min="9" style="0" width="10"/>
    <col collapsed="false" customWidth="true" hidden="false" outlineLevel="0" max="10" min="10" style="0" width="16"/>
    <col collapsed="false" customWidth="true" hidden="false" outlineLevel="0" max="11" min="11" style="0" width="12"/>
    <col collapsed="false" customWidth="true" hidden="false" outlineLevel="0" max="12" min="12" style="0" width="35"/>
    <col collapsed="false" customWidth="true" hidden="false" outlineLevel="0" max="14" min="14" style="0" width="18"/>
    <col collapsed="false" customWidth="true" hidden="false" outlineLevel="0" max="15" min="15" style="0" width="10"/>
  </cols>
  <sheetData>
    <row r="1" customFormat="false" ht="31.5" hidden="false" customHeight="true" outlineLevel="0" collapsed="false">
      <c r="A1" s="1" t="s">
        <v>0</v>
      </c>
      <c r="B1" s="1"/>
      <c r="C1" s="1"/>
      <c r="D1" s="1"/>
      <c r="E1" s="1"/>
      <c r="F1" s="1"/>
      <c r="G1" s="1"/>
      <c r="H1" s="1"/>
      <c r="I1" s="1"/>
      <c r="J1" s="1"/>
      <c r="K1" s="1"/>
      <c r="L1" s="1"/>
      <c r="N1" s="2" t="s">
        <v>1</v>
      </c>
      <c r="O1" s="2"/>
    </row>
    <row r="2" customFormat="false" ht="18" hidden="false" customHeight="true" outlineLevel="0" collapsed="false">
      <c r="A2" s="3" t="s">
        <v>2</v>
      </c>
      <c r="B2" s="3"/>
      <c r="C2" s="3"/>
      <c r="D2" s="3"/>
      <c r="E2" s="3"/>
      <c r="F2" s="3"/>
      <c r="G2" s="3"/>
      <c r="H2" s="3"/>
      <c r="I2" s="3"/>
      <c r="J2" s="3"/>
      <c r="K2" s="3"/>
      <c r="L2" s="3"/>
      <c r="N2" s="4" t="s">
        <v>3</v>
      </c>
      <c r="O2" s="5" t="n">
        <f aca="false">COUNTA(A5:A34)</f>
        <v>30</v>
      </c>
    </row>
    <row r="3" customFormat="false" ht="15" hidden="false" customHeight="false" outlineLevel="0" collapsed="false">
      <c r="N3" s="4" t="s">
        <v>4</v>
      </c>
      <c r="O3" s="5" t="n">
        <f aca="false">COUNTIF(I5:I34,"High")</f>
        <v>10</v>
      </c>
    </row>
    <row r="4" customFormat="false" ht="31.5" hidden="false" customHeight="true" outlineLevel="0" collapsed="false">
      <c r="A4" s="6" t="s">
        <v>5</v>
      </c>
      <c r="B4" s="6" t="s">
        <v>6</v>
      </c>
      <c r="C4" s="6" t="s">
        <v>7</v>
      </c>
      <c r="D4" s="6" t="s">
        <v>8</v>
      </c>
      <c r="E4" s="6" t="s">
        <v>9</v>
      </c>
      <c r="F4" s="6" t="s">
        <v>10</v>
      </c>
      <c r="G4" s="6" t="s">
        <v>11</v>
      </c>
      <c r="H4" s="6" t="s">
        <v>12</v>
      </c>
      <c r="I4" s="6" t="s">
        <v>13</v>
      </c>
      <c r="J4" s="6" t="s">
        <v>14</v>
      </c>
      <c r="K4" s="6" t="s">
        <v>15</v>
      </c>
      <c r="L4" s="6" t="s">
        <v>16</v>
      </c>
      <c r="N4" s="4" t="s">
        <v>17</v>
      </c>
      <c r="O4" s="5" t="n">
        <f aca="false">COUNTIF(I5:I34,"Med")</f>
        <v>17</v>
      </c>
    </row>
    <row r="5" customFormat="false" ht="69.75" hidden="false" customHeight="true" outlineLevel="0" collapsed="false">
      <c r="A5" s="7" t="n">
        <v>1</v>
      </c>
      <c r="B5" s="7" t="s">
        <v>18</v>
      </c>
      <c r="C5" s="7" t="s">
        <v>19</v>
      </c>
      <c r="D5" s="7" t="s">
        <v>20</v>
      </c>
      <c r="E5" s="7" t="s">
        <v>21</v>
      </c>
      <c r="F5" s="7" t="s">
        <v>22</v>
      </c>
      <c r="G5" s="7" t="s">
        <v>23</v>
      </c>
      <c r="H5" s="7" t="s">
        <v>24</v>
      </c>
      <c r="I5" s="8" t="s">
        <v>25</v>
      </c>
      <c r="J5" s="8" t="s">
        <v>26</v>
      </c>
      <c r="K5" s="7"/>
      <c r="L5" s="7"/>
      <c r="N5" s="4" t="s">
        <v>27</v>
      </c>
      <c r="O5" s="5" t="n">
        <f aca="false">COUNTIF(I5:I34,"Low")</f>
        <v>3</v>
      </c>
    </row>
    <row r="6" customFormat="false" ht="42" hidden="false" customHeight="true" outlineLevel="0" collapsed="false">
      <c r="A6" s="9" t="n">
        <v>2</v>
      </c>
      <c r="B6" s="9" t="s">
        <v>18</v>
      </c>
      <c r="C6" s="9" t="s">
        <v>19</v>
      </c>
      <c r="D6" s="9" t="s">
        <v>20</v>
      </c>
      <c r="E6" s="9" t="s">
        <v>28</v>
      </c>
      <c r="F6" s="9" t="s">
        <v>29</v>
      </c>
      <c r="G6" s="9" t="s">
        <v>30</v>
      </c>
      <c r="H6" s="9" t="s">
        <v>24</v>
      </c>
      <c r="I6" s="10" t="s">
        <v>31</v>
      </c>
      <c r="J6" s="11" t="s">
        <v>32</v>
      </c>
      <c r="K6" s="9"/>
      <c r="L6" s="9"/>
      <c r="N6" s="4" t="s">
        <v>26</v>
      </c>
      <c r="O6" s="5" t="n">
        <f aca="false">COUNTIF(J5:J34,"Pending")</f>
        <v>18</v>
      </c>
    </row>
    <row r="7" customFormat="false" ht="39.75" hidden="false" customHeight="true" outlineLevel="0" collapsed="false">
      <c r="A7" s="7" t="n">
        <v>3</v>
      </c>
      <c r="B7" s="7" t="s">
        <v>18</v>
      </c>
      <c r="C7" s="7" t="s">
        <v>19</v>
      </c>
      <c r="D7" s="7" t="s">
        <v>33</v>
      </c>
      <c r="E7" s="7" t="s">
        <v>34</v>
      </c>
      <c r="F7" s="7" t="s">
        <v>35</v>
      </c>
      <c r="G7" s="7" t="s">
        <v>36</v>
      </c>
      <c r="H7" s="7" t="s">
        <v>37</v>
      </c>
      <c r="I7" s="8" t="s">
        <v>25</v>
      </c>
      <c r="J7" s="11" t="s">
        <v>38</v>
      </c>
      <c r="K7" s="7"/>
      <c r="L7" s="7" t="s">
        <v>39</v>
      </c>
      <c r="N7" s="4" t="s">
        <v>32</v>
      </c>
      <c r="O7" s="5" t="n">
        <f aca="false">COUNTIF(J5:J34,"Confirmed")</f>
        <v>1</v>
      </c>
    </row>
    <row r="8" customFormat="false" ht="42" hidden="false" customHeight="true" outlineLevel="0" collapsed="false">
      <c r="A8" s="9" t="n">
        <v>4</v>
      </c>
      <c r="B8" s="9" t="s">
        <v>18</v>
      </c>
      <c r="C8" s="9" t="s">
        <v>19</v>
      </c>
      <c r="D8" s="9" t="s">
        <v>33</v>
      </c>
      <c r="E8" s="9" t="s">
        <v>40</v>
      </c>
      <c r="F8" s="9" t="s">
        <v>41</v>
      </c>
      <c r="G8" s="9" t="s">
        <v>42</v>
      </c>
      <c r="H8" s="9" t="s">
        <v>43</v>
      </c>
      <c r="I8" s="8" t="s">
        <v>25</v>
      </c>
      <c r="J8" s="8" t="s">
        <v>26</v>
      </c>
      <c r="K8" s="9"/>
      <c r="L8" s="9" t="s">
        <v>44</v>
      </c>
      <c r="N8" s="4" t="s">
        <v>38</v>
      </c>
      <c r="O8" s="5" t="n">
        <f aca="false">COUNTIF(J5:J34,"Updated")</f>
        <v>11</v>
      </c>
    </row>
    <row r="9" customFormat="false" ht="55.5" hidden="false" customHeight="true" outlineLevel="0" collapsed="false">
      <c r="A9" s="7" t="n">
        <v>5</v>
      </c>
      <c r="B9" s="7" t="s">
        <v>18</v>
      </c>
      <c r="C9" s="7" t="s">
        <v>19</v>
      </c>
      <c r="D9" s="7" t="s">
        <v>45</v>
      </c>
      <c r="E9" s="7" t="s">
        <v>46</v>
      </c>
      <c r="F9" s="7" t="s">
        <v>47</v>
      </c>
      <c r="G9" s="7" t="s">
        <v>48</v>
      </c>
      <c r="H9" s="7" t="s">
        <v>24</v>
      </c>
      <c r="I9" s="12" t="s">
        <v>49</v>
      </c>
      <c r="J9" s="11" t="s">
        <v>38</v>
      </c>
      <c r="K9" s="7"/>
      <c r="L9" s="7" t="s">
        <v>39</v>
      </c>
      <c r="N9" s="4" t="s">
        <v>50</v>
      </c>
      <c r="O9" s="5" t="n">
        <f aca="false">COUNTIF(J5:J34,"Wont Do")</f>
        <v>0</v>
      </c>
    </row>
    <row r="10" customFormat="false" ht="39.75" hidden="false" customHeight="true" outlineLevel="0" collapsed="false">
      <c r="A10" s="9" t="n">
        <v>6</v>
      </c>
      <c r="B10" s="9" t="s">
        <v>18</v>
      </c>
      <c r="C10" s="9" t="s">
        <v>19</v>
      </c>
      <c r="D10" s="9" t="s">
        <v>51</v>
      </c>
      <c r="E10" s="9" t="s">
        <v>52</v>
      </c>
      <c r="F10" s="9" t="s">
        <v>53</v>
      </c>
      <c r="G10" s="9" t="s">
        <v>54</v>
      </c>
      <c r="H10" s="9" t="s">
        <v>24</v>
      </c>
      <c r="I10" s="12" t="s">
        <v>49</v>
      </c>
      <c r="J10" s="11" t="s">
        <v>38</v>
      </c>
      <c r="K10" s="9"/>
      <c r="L10" s="9" t="s">
        <v>39</v>
      </c>
    </row>
    <row r="11" customFormat="false" ht="42" hidden="false" customHeight="true" outlineLevel="0" collapsed="false">
      <c r="A11" s="7" t="n">
        <v>7</v>
      </c>
      <c r="B11" s="7" t="s">
        <v>18</v>
      </c>
      <c r="C11" s="7" t="s">
        <v>19</v>
      </c>
      <c r="D11" s="7" t="s">
        <v>51</v>
      </c>
      <c r="E11" s="7" t="s">
        <v>55</v>
      </c>
      <c r="F11" s="7" t="s">
        <v>56</v>
      </c>
      <c r="G11" s="7" t="s">
        <v>57</v>
      </c>
      <c r="H11" s="7" t="s">
        <v>43</v>
      </c>
      <c r="I11" s="8" t="s">
        <v>25</v>
      </c>
      <c r="J11" s="8" t="s">
        <v>26</v>
      </c>
      <c r="K11" s="7"/>
      <c r="L11" s="7" t="s">
        <v>58</v>
      </c>
    </row>
    <row r="12" customFormat="false" ht="42" hidden="false" customHeight="true" outlineLevel="0" collapsed="false">
      <c r="A12" s="9" t="n">
        <v>8</v>
      </c>
      <c r="B12" s="9" t="s">
        <v>18</v>
      </c>
      <c r="C12" s="9" t="s">
        <v>19</v>
      </c>
      <c r="D12" s="9" t="s">
        <v>59</v>
      </c>
      <c r="E12" s="9" t="s">
        <v>60</v>
      </c>
      <c r="F12" s="9" t="s">
        <v>61</v>
      </c>
      <c r="G12" s="9" t="s">
        <v>62</v>
      </c>
      <c r="H12" s="9" t="s">
        <v>37</v>
      </c>
      <c r="I12" s="8" t="s">
        <v>25</v>
      </c>
      <c r="J12" s="11" t="s">
        <v>38</v>
      </c>
      <c r="K12" s="9"/>
      <c r="L12" s="9" t="s">
        <v>39</v>
      </c>
    </row>
    <row r="13" customFormat="false" ht="39.75" hidden="false" customHeight="true" outlineLevel="0" collapsed="false">
      <c r="A13" s="7" t="n">
        <v>9</v>
      </c>
      <c r="B13" s="7" t="s">
        <v>18</v>
      </c>
      <c r="C13" s="7" t="s">
        <v>19</v>
      </c>
      <c r="D13" s="7" t="s">
        <v>59</v>
      </c>
      <c r="E13" s="7" t="s">
        <v>63</v>
      </c>
      <c r="F13" s="7" t="s">
        <v>64</v>
      </c>
      <c r="G13" s="7" t="s">
        <v>65</v>
      </c>
      <c r="H13" s="7" t="s">
        <v>37</v>
      </c>
      <c r="I13" s="12" t="s">
        <v>49</v>
      </c>
      <c r="J13" s="11" t="s">
        <v>38</v>
      </c>
      <c r="K13" s="7"/>
      <c r="L13" s="7" t="s">
        <v>39</v>
      </c>
    </row>
    <row r="14" customFormat="false" ht="69.75" hidden="false" customHeight="true" outlineLevel="0" collapsed="false">
      <c r="A14" s="9" t="n">
        <v>10</v>
      </c>
      <c r="B14" s="9" t="s">
        <v>18</v>
      </c>
      <c r="C14" s="9" t="s">
        <v>19</v>
      </c>
      <c r="D14" s="9" t="s">
        <v>66</v>
      </c>
      <c r="E14" s="9" t="s">
        <v>67</v>
      </c>
      <c r="F14" s="9" t="s">
        <v>68</v>
      </c>
      <c r="G14" s="9" t="s">
        <v>69</v>
      </c>
      <c r="H14" s="9" t="s">
        <v>24</v>
      </c>
      <c r="I14" s="8" t="s">
        <v>25</v>
      </c>
      <c r="J14" s="11" t="s">
        <v>38</v>
      </c>
      <c r="K14" s="9"/>
      <c r="L14" s="9" t="s">
        <v>39</v>
      </c>
    </row>
    <row r="15" customFormat="false" ht="42" hidden="false" customHeight="true" outlineLevel="0" collapsed="false">
      <c r="A15" s="7" t="n">
        <v>11</v>
      </c>
      <c r="B15" s="7" t="s">
        <v>18</v>
      </c>
      <c r="C15" s="7" t="s">
        <v>19</v>
      </c>
      <c r="D15" s="7" t="s">
        <v>66</v>
      </c>
      <c r="E15" s="7" t="s">
        <v>70</v>
      </c>
      <c r="F15" s="7" t="s">
        <v>71</v>
      </c>
      <c r="G15" s="7" t="s">
        <v>72</v>
      </c>
      <c r="H15" s="7" t="s">
        <v>24</v>
      </c>
      <c r="I15" s="13" t="s">
        <v>31</v>
      </c>
      <c r="J15" s="11" t="s">
        <v>38</v>
      </c>
      <c r="K15" s="7"/>
      <c r="L15" s="7" t="s">
        <v>39</v>
      </c>
    </row>
    <row r="16" customFormat="false" ht="42" hidden="false" customHeight="true" outlineLevel="0" collapsed="false">
      <c r="A16" s="9" t="n">
        <v>12</v>
      </c>
      <c r="B16" s="9" t="s">
        <v>18</v>
      </c>
      <c r="C16" s="9" t="s">
        <v>19</v>
      </c>
      <c r="D16" s="9" t="s">
        <v>66</v>
      </c>
      <c r="E16" s="9" t="s">
        <v>73</v>
      </c>
      <c r="F16" s="9" t="s">
        <v>74</v>
      </c>
      <c r="G16" s="9" t="s">
        <v>75</v>
      </c>
      <c r="H16" s="9" t="s">
        <v>24</v>
      </c>
      <c r="I16" s="8" t="s">
        <v>25</v>
      </c>
      <c r="J16" s="11" t="s">
        <v>38</v>
      </c>
      <c r="K16" s="9"/>
      <c r="L16" s="9" t="s">
        <v>39</v>
      </c>
    </row>
    <row r="17" customFormat="false" ht="55.5" hidden="false" customHeight="true" outlineLevel="0" collapsed="false">
      <c r="A17" s="7" t="n">
        <v>13</v>
      </c>
      <c r="B17" s="7" t="s">
        <v>18</v>
      </c>
      <c r="C17" s="7" t="s">
        <v>19</v>
      </c>
      <c r="D17" s="7" t="s">
        <v>76</v>
      </c>
      <c r="E17" s="7" t="s">
        <v>77</v>
      </c>
      <c r="F17" s="7" t="s">
        <v>78</v>
      </c>
      <c r="G17" s="7" t="s">
        <v>79</v>
      </c>
      <c r="H17" s="7" t="s">
        <v>43</v>
      </c>
      <c r="I17" s="8" t="s">
        <v>25</v>
      </c>
      <c r="J17" s="8" t="s">
        <v>26</v>
      </c>
      <c r="K17" s="7"/>
      <c r="L17" s="7" t="s">
        <v>80</v>
      </c>
    </row>
    <row r="18" customFormat="false" ht="55.5" hidden="false" customHeight="true" outlineLevel="0" collapsed="false">
      <c r="A18" s="9" t="n">
        <v>14</v>
      </c>
      <c r="B18" s="9" t="s">
        <v>18</v>
      </c>
      <c r="C18" s="9" t="s">
        <v>19</v>
      </c>
      <c r="D18" s="9" t="s">
        <v>76</v>
      </c>
      <c r="E18" s="9" t="s">
        <v>81</v>
      </c>
      <c r="F18" s="9" t="s">
        <v>82</v>
      </c>
      <c r="G18" s="9" t="s">
        <v>83</v>
      </c>
      <c r="H18" s="9" t="s">
        <v>84</v>
      </c>
      <c r="I18" s="12" t="s">
        <v>49</v>
      </c>
      <c r="J18" s="8" t="s">
        <v>26</v>
      </c>
      <c r="K18" s="9"/>
      <c r="L18" s="9" t="s">
        <v>85</v>
      </c>
    </row>
    <row r="19" customFormat="false" ht="39.75" hidden="false" customHeight="true" outlineLevel="0" collapsed="false">
      <c r="A19" s="7" t="n">
        <v>15</v>
      </c>
      <c r="B19" s="7" t="s">
        <v>18</v>
      </c>
      <c r="C19" s="7" t="s">
        <v>19</v>
      </c>
      <c r="D19" s="7" t="s">
        <v>86</v>
      </c>
      <c r="E19" s="7" t="s">
        <v>87</v>
      </c>
      <c r="F19" s="7" t="s">
        <v>88</v>
      </c>
      <c r="G19" s="7" t="s">
        <v>89</v>
      </c>
      <c r="H19" s="7" t="s">
        <v>24</v>
      </c>
      <c r="I19" s="8" t="s">
        <v>25</v>
      </c>
      <c r="J19" s="8" t="s">
        <v>26</v>
      </c>
      <c r="K19" s="7"/>
      <c r="L19" s="7" t="s">
        <v>90</v>
      </c>
    </row>
    <row r="20" customFormat="false" ht="39.75" hidden="false" customHeight="true" outlineLevel="0" collapsed="false">
      <c r="A20" s="9" t="n">
        <v>16</v>
      </c>
      <c r="B20" s="9" t="s">
        <v>18</v>
      </c>
      <c r="C20" s="9" t="s">
        <v>19</v>
      </c>
      <c r="D20" s="9" t="s">
        <v>86</v>
      </c>
      <c r="E20" s="9" t="s">
        <v>91</v>
      </c>
      <c r="F20" s="9" t="s">
        <v>92</v>
      </c>
      <c r="G20" s="9" t="s">
        <v>93</v>
      </c>
      <c r="H20" s="9" t="s">
        <v>24</v>
      </c>
      <c r="I20" s="8" t="s">
        <v>25</v>
      </c>
      <c r="J20" s="8" t="s">
        <v>26</v>
      </c>
      <c r="K20" s="9"/>
      <c r="L20" s="9" t="s">
        <v>94</v>
      </c>
    </row>
    <row r="21" customFormat="false" ht="55.5" hidden="false" customHeight="true" outlineLevel="0" collapsed="false">
      <c r="A21" s="7" t="n">
        <v>17</v>
      </c>
      <c r="B21" s="7" t="s">
        <v>18</v>
      </c>
      <c r="C21" s="7" t="s">
        <v>19</v>
      </c>
      <c r="D21" s="7" t="s">
        <v>86</v>
      </c>
      <c r="E21" s="7" t="s">
        <v>95</v>
      </c>
      <c r="F21" s="7" t="s">
        <v>96</v>
      </c>
      <c r="G21" s="7" t="s">
        <v>97</v>
      </c>
      <c r="H21" s="7" t="s">
        <v>37</v>
      </c>
      <c r="I21" s="12" t="s">
        <v>49</v>
      </c>
      <c r="J21" s="8" t="s">
        <v>26</v>
      </c>
      <c r="K21" s="7"/>
      <c r="L21" s="7" t="s">
        <v>98</v>
      </c>
    </row>
    <row r="22" customFormat="false" ht="39.75" hidden="false" customHeight="true" outlineLevel="0" collapsed="false">
      <c r="A22" s="9" t="n">
        <v>18</v>
      </c>
      <c r="B22" s="9" t="s">
        <v>18</v>
      </c>
      <c r="C22" s="9" t="s">
        <v>19</v>
      </c>
      <c r="D22" s="9" t="s">
        <v>86</v>
      </c>
      <c r="E22" s="9" t="s">
        <v>99</v>
      </c>
      <c r="F22" s="9" t="s">
        <v>100</v>
      </c>
      <c r="G22" s="9" t="s">
        <v>101</v>
      </c>
      <c r="H22" s="9" t="s">
        <v>102</v>
      </c>
      <c r="I22" s="12" t="s">
        <v>49</v>
      </c>
      <c r="J22" s="8" t="s">
        <v>26</v>
      </c>
      <c r="K22" s="9"/>
      <c r="L22" s="9" t="s">
        <v>103</v>
      </c>
    </row>
    <row r="23" customFormat="false" ht="39.75" hidden="false" customHeight="true" outlineLevel="0" collapsed="false">
      <c r="A23" s="7" t="n">
        <v>19</v>
      </c>
      <c r="B23" s="7" t="s">
        <v>18</v>
      </c>
      <c r="C23" s="7" t="s">
        <v>19</v>
      </c>
      <c r="D23" s="7" t="s">
        <v>86</v>
      </c>
      <c r="E23" s="7" t="s">
        <v>104</v>
      </c>
      <c r="F23" s="7" t="s">
        <v>105</v>
      </c>
      <c r="G23" s="7" t="s">
        <v>106</v>
      </c>
      <c r="H23" s="7" t="s">
        <v>37</v>
      </c>
      <c r="I23" s="8" t="s">
        <v>25</v>
      </c>
      <c r="J23" s="11" t="s">
        <v>38</v>
      </c>
      <c r="K23" s="7"/>
      <c r="L23" s="7" t="s">
        <v>39</v>
      </c>
    </row>
    <row r="24" customFormat="false" ht="39.75" hidden="false" customHeight="true" outlineLevel="0" collapsed="false">
      <c r="A24" s="9" t="n">
        <v>20</v>
      </c>
      <c r="B24" s="9" t="s">
        <v>18</v>
      </c>
      <c r="C24" s="9" t="s">
        <v>19</v>
      </c>
      <c r="D24" s="9" t="s">
        <v>86</v>
      </c>
      <c r="E24" s="9" t="s">
        <v>107</v>
      </c>
      <c r="F24" s="9" t="s">
        <v>108</v>
      </c>
      <c r="G24" s="9" t="s">
        <v>109</v>
      </c>
      <c r="H24" s="9" t="s">
        <v>37</v>
      </c>
      <c r="I24" s="8" t="s">
        <v>25</v>
      </c>
      <c r="J24" s="8" t="s">
        <v>26</v>
      </c>
      <c r="K24" s="9"/>
      <c r="L24" s="9" t="s">
        <v>110</v>
      </c>
    </row>
    <row r="25" customFormat="false" ht="42" hidden="false" customHeight="true" outlineLevel="0" collapsed="false">
      <c r="A25" s="7" t="n">
        <v>21</v>
      </c>
      <c r="B25" s="7" t="s">
        <v>18</v>
      </c>
      <c r="C25" s="7" t="s">
        <v>19</v>
      </c>
      <c r="D25" s="7" t="s">
        <v>111</v>
      </c>
      <c r="E25" s="7" t="s">
        <v>112</v>
      </c>
      <c r="F25" s="7" t="s">
        <v>113</v>
      </c>
      <c r="G25" s="7" t="s">
        <v>114</v>
      </c>
      <c r="H25" s="7" t="s">
        <v>115</v>
      </c>
      <c r="I25" s="12" t="s">
        <v>49</v>
      </c>
      <c r="J25" s="8" t="s">
        <v>26</v>
      </c>
      <c r="K25" s="7"/>
      <c r="L25" s="7" t="s">
        <v>116</v>
      </c>
    </row>
    <row r="26" customFormat="false" ht="39.75" hidden="false" customHeight="true" outlineLevel="0" collapsed="false">
      <c r="A26" s="9" t="n">
        <v>22</v>
      </c>
      <c r="B26" s="9" t="s">
        <v>18</v>
      </c>
      <c r="C26" s="9" t="s">
        <v>19</v>
      </c>
      <c r="D26" s="9" t="s">
        <v>111</v>
      </c>
      <c r="E26" s="9" t="s">
        <v>117</v>
      </c>
      <c r="F26" s="9" t="s">
        <v>118</v>
      </c>
      <c r="G26" s="9" t="s">
        <v>119</v>
      </c>
      <c r="H26" s="9" t="s">
        <v>24</v>
      </c>
      <c r="I26" s="8" t="s">
        <v>25</v>
      </c>
      <c r="J26" s="8" t="s">
        <v>26</v>
      </c>
      <c r="K26" s="9"/>
      <c r="L26" s="9" t="s">
        <v>120</v>
      </c>
    </row>
    <row r="27" customFormat="false" ht="55.5" hidden="false" customHeight="true" outlineLevel="0" collapsed="false">
      <c r="A27" s="7" t="n">
        <v>23</v>
      </c>
      <c r="B27" s="7" t="s">
        <v>18</v>
      </c>
      <c r="C27" s="7" t="s">
        <v>19</v>
      </c>
      <c r="D27" s="7" t="s">
        <v>111</v>
      </c>
      <c r="E27" s="7" t="s">
        <v>121</v>
      </c>
      <c r="F27" s="7" t="s">
        <v>122</v>
      </c>
      <c r="G27" s="7" t="s">
        <v>123</v>
      </c>
      <c r="H27" s="7" t="s">
        <v>124</v>
      </c>
      <c r="I27" s="12" t="s">
        <v>49</v>
      </c>
      <c r="J27" s="8" t="s">
        <v>26</v>
      </c>
      <c r="K27" s="7"/>
      <c r="L27" s="7" t="s">
        <v>125</v>
      </c>
    </row>
    <row r="28" customFormat="false" ht="39.75" hidden="false" customHeight="true" outlineLevel="0" collapsed="false">
      <c r="A28" s="9" t="n">
        <v>24</v>
      </c>
      <c r="B28" s="9" t="s">
        <v>18</v>
      </c>
      <c r="C28" s="9" t="s">
        <v>19</v>
      </c>
      <c r="D28" s="9" t="s">
        <v>111</v>
      </c>
      <c r="E28" s="9" t="s">
        <v>126</v>
      </c>
      <c r="F28" s="9" t="s">
        <v>127</v>
      </c>
      <c r="G28" s="9" t="s">
        <v>128</v>
      </c>
      <c r="H28" s="9" t="s">
        <v>129</v>
      </c>
      <c r="I28" s="12" t="s">
        <v>49</v>
      </c>
      <c r="J28" s="8" t="s">
        <v>26</v>
      </c>
      <c r="K28" s="9"/>
      <c r="L28" s="9" t="s">
        <v>130</v>
      </c>
    </row>
    <row r="29" customFormat="false" ht="55.5" hidden="false" customHeight="true" outlineLevel="0" collapsed="false">
      <c r="A29" s="7" t="n">
        <v>25</v>
      </c>
      <c r="B29" s="7" t="s">
        <v>18</v>
      </c>
      <c r="C29" s="7" t="s">
        <v>19</v>
      </c>
      <c r="D29" s="7" t="s">
        <v>111</v>
      </c>
      <c r="E29" s="7" t="s">
        <v>131</v>
      </c>
      <c r="F29" s="7" t="s">
        <v>132</v>
      </c>
      <c r="G29" s="7" t="s">
        <v>133</v>
      </c>
      <c r="H29" s="7" t="s">
        <v>134</v>
      </c>
      <c r="I29" s="13" t="s">
        <v>31</v>
      </c>
      <c r="J29" s="8" t="s">
        <v>26</v>
      </c>
      <c r="K29" s="7"/>
      <c r="L29" s="7" t="s">
        <v>135</v>
      </c>
    </row>
    <row r="30" customFormat="false" ht="39.75" hidden="false" customHeight="true" outlineLevel="0" collapsed="false">
      <c r="A30" s="9" t="n">
        <v>26</v>
      </c>
      <c r="B30" s="9" t="s">
        <v>18</v>
      </c>
      <c r="C30" s="9" t="s">
        <v>19</v>
      </c>
      <c r="D30" s="9" t="s">
        <v>111</v>
      </c>
      <c r="E30" s="9" t="s">
        <v>136</v>
      </c>
      <c r="F30" s="9" t="s">
        <v>137</v>
      </c>
      <c r="G30" s="9" t="s">
        <v>138</v>
      </c>
      <c r="H30" s="9" t="s">
        <v>129</v>
      </c>
      <c r="I30" s="12" t="s">
        <v>49</v>
      </c>
      <c r="J30" s="8" t="s">
        <v>26</v>
      </c>
      <c r="K30" s="9"/>
      <c r="L30" s="9" t="s">
        <v>139</v>
      </c>
    </row>
    <row r="31" customFormat="false" ht="42" hidden="false" customHeight="true" outlineLevel="0" collapsed="false">
      <c r="A31" s="7" t="n">
        <v>27</v>
      </c>
      <c r="B31" s="7" t="s">
        <v>18</v>
      </c>
      <c r="C31" s="7" t="s">
        <v>19</v>
      </c>
      <c r="D31" s="7" t="s">
        <v>140</v>
      </c>
      <c r="E31" s="7" t="s">
        <v>141</v>
      </c>
      <c r="F31" s="7" t="s">
        <v>142</v>
      </c>
      <c r="G31" s="7" t="s">
        <v>143</v>
      </c>
      <c r="H31" s="7" t="s">
        <v>37</v>
      </c>
      <c r="I31" s="8" t="s">
        <v>25</v>
      </c>
      <c r="J31" s="8" t="s">
        <v>26</v>
      </c>
      <c r="K31" s="7"/>
      <c r="L31" s="7" t="s">
        <v>144</v>
      </c>
    </row>
    <row r="32" customFormat="false" ht="39.75" hidden="false" customHeight="true" outlineLevel="0" collapsed="false">
      <c r="A32" s="9" t="n">
        <v>28</v>
      </c>
      <c r="B32" s="9" t="s">
        <v>18</v>
      </c>
      <c r="C32" s="9" t="s">
        <v>19</v>
      </c>
      <c r="D32" s="9" t="s">
        <v>140</v>
      </c>
      <c r="E32" s="9" t="s">
        <v>145</v>
      </c>
      <c r="F32" s="9" t="s">
        <v>146</v>
      </c>
      <c r="G32" s="9" t="s">
        <v>147</v>
      </c>
      <c r="H32" s="9" t="s">
        <v>148</v>
      </c>
      <c r="I32" s="8" t="s">
        <v>25</v>
      </c>
      <c r="J32" s="8" t="s">
        <v>26</v>
      </c>
      <c r="K32" s="9"/>
      <c r="L32" s="9" t="s">
        <v>149</v>
      </c>
    </row>
    <row r="33" customFormat="false" ht="69.75" hidden="false" customHeight="true" outlineLevel="0" collapsed="false">
      <c r="A33" s="7" t="n">
        <v>29</v>
      </c>
      <c r="B33" s="7" t="s">
        <v>18</v>
      </c>
      <c r="C33" s="7" t="s">
        <v>19</v>
      </c>
      <c r="D33" s="7" t="s">
        <v>140</v>
      </c>
      <c r="E33" s="7" t="s">
        <v>150</v>
      </c>
      <c r="F33" s="7" t="s">
        <v>151</v>
      </c>
      <c r="G33" s="7" t="s">
        <v>152</v>
      </c>
      <c r="H33" s="7" t="s">
        <v>37</v>
      </c>
      <c r="I33" s="8" t="s">
        <v>25</v>
      </c>
      <c r="J33" s="11" t="s">
        <v>38</v>
      </c>
      <c r="K33" s="7"/>
      <c r="L33" s="7" t="s">
        <v>39</v>
      </c>
    </row>
    <row r="34" customFormat="false" ht="69.75" hidden="false" customHeight="true" outlineLevel="0" collapsed="false">
      <c r="A34" s="9" t="n">
        <v>30</v>
      </c>
      <c r="B34" s="9" t="s">
        <v>18</v>
      </c>
      <c r="C34" s="9" t="s">
        <v>19</v>
      </c>
      <c r="D34" s="9" t="s">
        <v>140</v>
      </c>
      <c r="E34" s="9" t="s">
        <v>153</v>
      </c>
      <c r="F34" s="9" t="s">
        <v>154</v>
      </c>
      <c r="G34" s="9" t="s">
        <v>155</v>
      </c>
      <c r="H34" s="9" t="s">
        <v>24</v>
      </c>
      <c r="I34" s="8" t="s">
        <v>25</v>
      </c>
      <c r="J34" s="11" t="s">
        <v>38</v>
      </c>
      <c r="K34" s="9"/>
      <c r="L34" s="9" t="s">
        <v>39</v>
      </c>
    </row>
  </sheetData>
  <autoFilter ref="A4:L34"/>
  <mergeCells count="3">
    <mergeCell ref="A1:L1"/>
    <mergeCell ref="N1:O1"/>
    <mergeCell ref="A2:L2"/>
  </mergeCells>
  <printOptions headings="false" gridLines="false" gridLinesSet="true" horizontalCentered="true" verticalCentered="false"/>
  <pageMargins left="0.75" right="0.75" top="1" bottom="1" header="0.511811023622047" footer="0.511811023622047"/>
  <pageSetup paperSize="4"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2026-05-05T02:50:38Z</dcterms:created>
  <dc:creator>openpyxl</dc:creator>
  <dc:description/>
  <dc:language>en-US</dc:language>
  <cp:lastModifiedBy/>
  <dcterms:modified xsi:type="dcterms:W3CDTF">2026-05-05T02:50:38Z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