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Tracker" sheetId="1" state="visible" r:id="rId1"/>
  </sheets>
  <definedNames>
    <definedName name="_xlnm._FilterDatabase" localSheetId="0" hidden="1">'Comments Tracker'!$A$4:$L$34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i val="1"/>
      <color rgb="00333333"/>
      <sz val="10"/>
    </font>
    <font>
      <name val="Arial"/>
      <b val="1"/>
      <color rgb="00FFFFFF"/>
      <sz val="10"/>
    </font>
    <font>
      <name val="Arial"/>
      <sz val="10"/>
    </font>
    <font>
      <name val="Arial"/>
      <b val="1"/>
      <color rgb="00996600"/>
      <sz val="10"/>
    </font>
    <font>
      <name val="Arial"/>
      <color rgb="00333333"/>
      <sz val="10"/>
    </font>
    <font>
      <name val="Arial"/>
      <b val="1"/>
      <color rgb="0000723A"/>
      <sz val="10"/>
    </font>
    <font>
      <name val="Arial"/>
      <b val="1"/>
      <color rgb="00B30000"/>
      <sz val="10"/>
    </font>
    <font>
      <name val="Arial"/>
      <b val="1"/>
      <color rgb="00FFFFFF"/>
      <sz val="12"/>
    </font>
    <font>
      <name val="Arial"/>
      <b val="1"/>
      <sz val="10"/>
    </font>
  </fonts>
  <fills count="8">
    <fill>
      <patternFill/>
    </fill>
    <fill>
      <patternFill patternType="gray125"/>
    </fill>
    <fill>
      <patternFill patternType="solid">
        <fgColor rgb="0000863F"/>
      </patternFill>
    </fill>
    <fill>
      <patternFill patternType="solid">
        <fgColor rgb="0000723A"/>
      </patternFill>
    </fill>
    <fill>
      <patternFill patternType="solid">
        <fgColor rgb="00FFF4CC"/>
      </patternFill>
    </fill>
    <fill>
      <patternFill patternType="solid">
        <fgColor rgb="00F2F2F2"/>
      </patternFill>
    </fill>
    <fill>
      <patternFill patternType="solid">
        <fgColor rgb="00E8F5EE"/>
      </patternFill>
    </fill>
    <fill>
      <patternFill patternType="solid">
        <fgColor rgb="00FCE7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9" fillId="2" borderId="0" applyAlignment="1" pivotButton="0" quotePrefix="0" xfId="0">
      <alignment horizontal="center" vertical="center"/>
    </xf>
    <xf numFmtId="0" fontId="2" fillId="0" borderId="0" applyAlignment="1" pivotButton="0" quotePrefix="0" xfId="0">
      <alignment horizontal="left" vertical="center" indent="1"/>
    </xf>
    <xf numFmtId="0" fontId="10" fillId="6" borderId="1" applyAlignment="1" pivotButton="0" quotePrefix="0" xfId="0">
      <alignment horizontal="left" indent="1"/>
    </xf>
    <xf numFmtId="0" fontId="4" fillId="0" borderId="1" applyAlignment="1" pivotButton="0" quotePrefix="0" xfId="0">
      <alignment horizontal="center"/>
    </xf>
    <xf numFmtId="0" fontId="3" fillId="3" borderId="0" applyAlignment="1" pivotButton="0" quotePrefix="0" xfId="0">
      <alignment horizontal="center" vertical="center" wrapText="1"/>
    </xf>
    <xf numFmtId="0" fontId="4" fillId="0" borderId="1" applyAlignment="1" pivotButton="0" quotePrefix="0" xfId="0">
      <alignment horizontal="left" vertical="top" wrapText="1"/>
    </xf>
    <xf numFmtId="0" fontId="5" fillId="4" borderId="1" applyAlignment="1" pivotButton="0" quotePrefix="0" xfId="0">
      <alignment horizontal="center" vertical="top" wrapText="1"/>
    </xf>
    <xf numFmtId="0" fontId="4" fillId="5" borderId="1" applyAlignment="1" pivotButton="0" quotePrefix="0" xfId="0">
      <alignment horizontal="left" vertical="top" wrapText="1"/>
    </xf>
    <xf numFmtId="0" fontId="6" fillId="5" borderId="1" applyAlignment="1" pivotButton="0" quotePrefix="0" xfId="0">
      <alignment horizontal="center" vertical="top" wrapText="1"/>
    </xf>
    <xf numFmtId="0" fontId="7" fillId="6" borderId="1" applyAlignment="1" pivotButton="0" quotePrefix="0" xfId="0">
      <alignment horizontal="center" vertical="top" wrapText="1"/>
    </xf>
    <xf numFmtId="0" fontId="8" fillId="7" borderId="1" applyAlignment="1" pivotButton="0" quotePrefix="0" xfId="0">
      <alignment horizontal="center" vertical="top" wrapText="1"/>
    </xf>
    <xf numFmtId="0" fontId="6"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34"/>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14" customWidth="1" min="3" max="3"/>
    <col width="16" customWidth="1" min="4" max="4"/>
    <col width="18" customWidth="1" min="5" max="5"/>
    <col width="60" customWidth="1" min="6" max="6"/>
    <col width="60" customWidth="1" min="7" max="7"/>
    <col width="14" customWidth="1" min="8" max="8"/>
    <col width="10" customWidth="1" min="9" max="9"/>
    <col width="16" customWidth="1" min="10" max="10"/>
    <col width="12" customWidth="1" min="11" max="11"/>
    <col width="35" customWidth="1" min="12" max="12"/>
    <col width="18" customWidth="1" min="14" max="14"/>
    <col width="10" customWidth="1" min="15" max="15"/>
  </cols>
  <sheetData>
    <row r="1" ht="32" customHeight="1">
      <c r="A1" s="1" t="inlineStr">
        <is>
          <t>MCW VEC Website — Marketing Team Comments Tracker</t>
        </is>
      </c>
      <c r="N1" s="2" t="inlineStr">
        <is>
          <t>Summary</t>
        </is>
      </c>
    </row>
    <row r="2" ht="18" customHeight="1">
      <c r="A2" s="3" t="inlineStr">
        <is>
          <t>Source: Adele Hillman feedback email — May 4, 2026  |  Status as of report generation</t>
        </is>
      </c>
      <c r="N2" s="4" t="inlineStr">
        <is>
          <t>Total comments</t>
        </is>
      </c>
      <c r="O2" s="5">
        <f>COUNTA(A5:A34)</f>
        <v/>
      </c>
    </row>
    <row r="3">
      <c r="N3" s="4" t="inlineStr">
        <is>
          <t>High priority</t>
        </is>
      </c>
      <c r="O3" s="5">
        <f>COUNTIF(I5:I34,"High")</f>
        <v/>
      </c>
    </row>
    <row r="4" ht="32" customHeight="1">
      <c r="A4" s="6" t="inlineStr">
        <is>
          <t>ID</t>
        </is>
      </c>
      <c r="B4" s="6" t="inlineStr">
        <is>
          <t>Date Received</t>
        </is>
      </c>
      <c r="C4" s="6" t="inlineStr">
        <is>
          <t>Reviewer</t>
        </is>
      </c>
      <c r="D4" s="6" t="inlineStr">
        <is>
          <t>Site Section</t>
        </is>
      </c>
      <c r="E4" s="6" t="inlineStr">
        <is>
          <t>Comment Category</t>
        </is>
      </c>
      <c r="F4" s="6" t="inlineStr">
        <is>
          <t>Comment Detail</t>
        </is>
      </c>
      <c r="G4" s="6" t="inlineStr">
        <is>
          <t>MCW Proposed Action / Response</t>
        </is>
      </c>
      <c r="H4" s="6" t="inlineStr">
        <is>
          <t>Owner</t>
        </is>
      </c>
      <c r="I4" s="6" t="inlineStr">
        <is>
          <t>Priority</t>
        </is>
      </c>
      <c r="J4" s="6" t="inlineStr">
        <is>
          <t>Status</t>
        </is>
      </c>
      <c r="K4" s="6" t="inlineStr">
        <is>
          <t>Date Updated</t>
        </is>
      </c>
      <c r="L4" s="6" t="inlineStr">
        <is>
          <t>Notes</t>
        </is>
      </c>
      <c r="N4" s="4" t="inlineStr">
        <is>
          <t>Med priority</t>
        </is>
      </c>
      <c r="O4" s="5">
        <f>COUNTIF(I5:I34,"Med")</f>
        <v/>
      </c>
    </row>
    <row r="5" ht="70" customHeight="1">
      <c r="A5" s="7" t="n">
        <v>1</v>
      </c>
      <c r="B5" s="7" t="inlineStr">
        <is>
          <t>May 4, 2026</t>
        </is>
      </c>
      <c r="C5" s="7" t="inlineStr">
        <is>
          <t>Adele Hillman</t>
        </is>
      </c>
      <c r="D5" s="7" t="inlineStr">
        <is>
          <t>General</t>
        </is>
      </c>
      <c r="E5" s="7" t="inlineStr">
        <is>
          <t>Searchability</t>
        </is>
      </c>
      <c r="F5" s="7" t="inlineStr">
        <is>
          <t>How does this site work for open searchability (with the phone numbers and emails on there)?</t>
        </is>
      </c>
      <c r="G5" s="7" t="inlineStr">
        <is>
          <t>The site is password-gated (StaticCrypt, password mcw2026) and the gate page sets robots: noindex/nofollow. Phone numbers and emails are NOT publicly searchable while behind the gate. If we ever remove the gate, we should review email/phone visibility before going public.</t>
        </is>
      </c>
      <c r="H5" s="7" t="inlineStr">
        <is>
          <t>Collin</t>
        </is>
      </c>
      <c r="I5" s="8" t="inlineStr">
        <is>
          <t>Med</t>
        </is>
      </c>
      <c r="J5" s="8" t="inlineStr">
        <is>
          <t>Pending</t>
        </is>
      </c>
      <c r="K5" s="7" t="inlineStr"/>
      <c r="L5" s="7" t="inlineStr"/>
      <c r="N5" s="4" t="inlineStr">
        <is>
          <t>Low priority</t>
        </is>
      </c>
      <c r="O5" s="5">
        <f>COUNTIF(I5:I34,"Low")</f>
        <v/>
      </c>
    </row>
    <row r="6" ht="42" customHeight="1">
      <c r="A6" s="9" t="n">
        <v>2</v>
      </c>
      <c r="B6" s="9" t="inlineStr">
        <is>
          <t>May 4, 2026</t>
        </is>
      </c>
      <c r="C6" s="9" t="inlineStr">
        <is>
          <t>Adele Hillman</t>
        </is>
      </c>
      <c r="D6" s="9" t="inlineStr">
        <is>
          <t>General</t>
        </is>
      </c>
      <c r="E6" s="9" t="inlineStr">
        <is>
          <t>Target Audience</t>
        </is>
      </c>
      <c r="F6" s="9" t="inlineStr">
        <is>
          <t>Confirming Target Audience: GCs, Architects, Owners, Trade Contractors for BC Alternative Delivery Projects.</t>
        </is>
      </c>
      <c r="G6" s="9" t="inlineStr">
        <is>
          <t>Confirmed. Tone, content, and image selection across the site are written for this audience. Copy and structure should continue to reinforce this focus.</t>
        </is>
      </c>
      <c r="H6" s="9" t="inlineStr">
        <is>
          <t>Collin</t>
        </is>
      </c>
      <c r="I6" s="10" t="inlineStr">
        <is>
          <t>Low</t>
        </is>
      </c>
      <c r="J6" s="11" t="inlineStr">
        <is>
          <t>Confirmed</t>
        </is>
      </c>
      <c r="K6" s="9" t="inlineStr"/>
      <c r="L6" s="9" t="inlineStr"/>
      <c r="N6" s="4" t="inlineStr">
        <is>
          <t>Pending</t>
        </is>
      </c>
      <c r="O6" s="5">
        <f>COUNTIF(J5:J34,"Pending")</f>
        <v/>
      </c>
    </row>
    <row r="7" ht="40" customHeight="1">
      <c r="A7" s="7" t="n">
        <v>3</v>
      </c>
      <c r="B7" s="7" t="inlineStr">
        <is>
          <t>May 4, 2026</t>
        </is>
      </c>
      <c r="C7" s="7" t="inlineStr">
        <is>
          <t>Adele Hillman</t>
        </is>
      </c>
      <c r="D7" s="7" t="inlineStr">
        <is>
          <t>Brand</t>
        </is>
      </c>
      <c r="E7" s="7" t="inlineStr">
        <is>
          <t>Header logo spacing</t>
        </is>
      </c>
      <c r="F7" s="7" t="inlineStr">
        <is>
          <t>Add more space between the signature logo top left and 'MCW VEC Collaborative Delivery'.</t>
        </is>
      </c>
      <c r="G7" s="7" t="inlineStr">
        <is>
          <t>Done. Increased .brand gap from 0.7rem to 1.1rem in styles.css; CSS cache bumped to v=14.</t>
        </is>
      </c>
      <c r="H7" s="7" t="inlineStr">
        <is>
          <t>Collin (web)</t>
        </is>
      </c>
      <c r="I7" s="8" t="inlineStr">
        <is>
          <t>Med</t>
        </is>
      </c>
      <c r="J7" s="11" t="inlineStr">
        <is>
          <t>Updated</t>
        </is>
      </c>
      <c r="K7" s="7" t="inlineStr"/>
      <c r="L7" s="7" t="inlineStr">
        <is>
          <t>Live after next push</t>
        </is>
      </c>
      <c r="N7" s="4" t="inlineStr">
        <is>
          <t>Confirmed</t>
        </is>
      </c>
      <c r="O7" s="5">
        <f>COUNTIF(J5:J34,"Confirmed")</f>
        <v/>
      </c>
    </row>
    <row r="8" ht="112" customHeight="1">
      <c r="A8" s="9" t="n">
        <v>4</v>
      </c>
      <c r="B8" s="9" t="inlineStr">
        <is>
          <t>May 4, 2026</t>
        </is>
      </c>
      <c r="C8" s="9" t="inlineStr">
        <is>
          <t>Adele Hillman</t>
        </is>
      </c>
      <c r="D8" s="9" t="inlineStr">
        <is>
          <t>Brand</t>
        </is>
      </c>
      <c r="E8" s="9" t="inlineStr">
        <is>
          <t>Header wordmark structure</t>
        </is>
      </c>
      <c r="F8" s="9" t="inlineStr">
        <is>
          <t>Instead of 'MCW VEC' / 'Collaborative Delivery', consider moving 'Collaborative Delivery' to top line and spelling out 'from Vancouver • Edmonton • Calgary' on the second line.</t>
        </is>
      </c>
      <c r="G8" s="9" t="inlineStr">
        <is>
          <t>Done. Adopted Adele's version. Top line now reads 'Collaborative Delivery' and bottom line 'from Vancouver • Edmonton • Calgary' (uppercase + tracked). Mobile sub-line font reduced (0.62rem → 0.55rem, letter-spacing 0.08em → 0.04em) to fit longer text on phones. CSS cache bumped to v=15. Browser-tab page titles also updated to drop 'MCW VEC' — now use 'MCW Collaborative Delivery' across all 37 pages.</t>
        </is>
      </c>
      <c r="H8" s="9" t="inlineStr">
        <is>
          <t>Collin</t>
        </is>
      </c>
      <c r="I8" s="8" t="inlineStr">
        <is>
          <t>Med</t>
        </is>
      </c>
      <c r="J8" s="11" t="inlineStr">
        <is>
          <t>Updated</t>
        </is>
      </c>
      <c r="K8" s="9" t="inlineStr"/>
      <c r="L8" s="9" t="inlineStr">
        <is>
          <t>Live after next push</t>
        </is>
      </c>
      <c r="N8" s="4" t="inlineStr">
        <is>
          <t>Updated</t>
        </is>
      </c>
      <c r="O8" s="5">
        <f>COUNTIF(J5:J34,"Updated")</f>
        <v/>
      </c>
    </row>
    <row r="9" ht="56" customHeight="1">
      <c r="A9" s="7" t="n">
        <v>5</v>
      </c>
      <c r="B9" s="7" t="inlineStr">
        <is>
          <t>May 4, 2026</t>
        </is>
      </c>
      <c r="C9" s="7" t="inlineStr">
        <is>
          <t>Adele Hillman</t>
        </is>
      </c>
      <c r="D9" s="7" t="inlineStr">
        <is>
          <t>Geography</t>
        </is>
      </c>
      <c r="E9" s="7" t="inlineStr">
        <is>
          <t>VEC vs national</t>
        </is>
      </c>
      <c r="F9" s="7" t="inlineStr">
        <is>
          <t>We say VEC throughout but homepage says 'national collaborative-delivery [...] from BC to Ontario' — so what geography are we actually going after?</t>
        </is>
      </c>
      <c r="G9" s="7" t="inlineStr">
        <is>
          <t>Done. Rewrote home.html lede to lead with VEC offices (Vancouver, Edmonton, Calgary), with 'supported by MCW's national bench when sector or scale calls for it.' Geography now reads 'Western Canada' instead of 'BC to Ontario'.</t>
        </is>
      </c>
      <c r="H9" s="7" t="inlineStr">
        <is>
          <t>Collin</t>
        </is>
      </c>
      <c r="I9" s="12" t="inlineStr">
        <is>
          <t>High</t>
        </is>
      </c>
      <c r="J9" s="11" t="inlineStr">
        <is>
          <t>Updated</t>
        </is>
      </c>
      <c r="K9" s="7" t="inlineStr"/>
      <c r="L9" s="7" t="inlineStr">
        <is>
          <t>Live after next push</t>
        </is>
      </c>
      <c r="N9" s="4" t="inlineStr">
        <is>
          <t>Won't Do</t>
        </is>
      </c>
      <c r="O9" s="5">
        <f>COUNTIF(J5:J34,"Wont Do")</f>
        <v/>
      </c>
    </row>
    <row r="10" ht="40" customHeight="1">
      <c r="A10" s="9" t="n">
        <v>6</v>
      </c>
      <c r="B10" s="9" t="inlineStr">
        <is>
          <t>May 4, 2026</t>
        </is>
      </c>
      <c r="C10" s="9" t="inlineStr">
        <is>
          <t>Adele Hillman</t>
        </is>
      </c>
      <c r="D10" s="9" t="inlineStr">
        <is>
          <t>Home</t>
        </is>
      </c>
      <c r="E10" s="9" t="inlineStr">
        <is>
          <t>Hero tagline 'design, decide, build'</t>
        </is>
      </c>
      <c r="F10" s="9" t="inlineStr">
        <is>
          <t>'A Collaborative Delivery partner who arrives ready to design, decide, and build.' — but we don't build. (No suggestion offered.)</t>
        </is>
      </c>
      <c r="G10" s="9" t="inlineStr">
        <is>
          <t>Done. Updated hero h1 from 'design, decide, and build' to 'design, decide, and deliver'. Open to alternative wording from leadership.</t>
        </is>
      </c>
      <c r="H10" s="9" t="inlineStr">
        <is>
          <t>Collin</t>
        </is>
      </c>
      <c r="I10" s="12" t="inlineStr">
        <is>
          <t>High</t>
        </is>
      </c>
      <c r="J10" s="11" t="inlineStr">
        <is>
          <t>Updated</t>
        </is>
      </c>
      <c r="K10" s="9" t="inlineStr"/>
      <c r="L10" s="9" t="inlineStr">
        <is>
          <t>Live after next push</t>
        </is>
      </c>
    </row>
    <row r="11" ht="42" customHeight="1">
      <c r="A11" s="7" t="n">
        <v>7</v>
      </c>
      <c r="B11" s="7" t="inlineStr">
        <is>
          <t>May 4, 2026</t>
        </is>
      </c>
      <c r="C11" s="7" t="inlineStr">
        <is>
          <t>Adele Hillman</t>
        </is>
      </c>
      <c r="D11" s="7" t="inlineStr">
        <is>
          <t>Home</t>
        </is>
      </c>
      <c r="E11" s="7" t="inlineStr">
        <is>
          <t>Why MCW — Alliance</t>
        </is>
      </c>
      <c r="F11" s="7" t="inlineStr">
        <is>
          <t>'Why MCW for' — are we going to try to include Alliance?</t>
        </is>
      </c>
      <c r="G11" s="7" t="inlineStr">
        <is>
          <t>Discuss. Alliance contracting (true alliancing, not just IPD) is gaining traction in BC infrastructure. Recommend adding once MCW has a confirmed Alliance reference, otherwise list as 'in pursuit'.</t>
        </is>
      </c>
      <c r="H11" s="7" t="inlineStr">
        <is>
          <t>Collin / Adele</t>
        </is>
      </c>
      <c r="I11" s="8" t="inlineStr">
        <is>
          <t>Med</t>
        </is>
      </c>
      <c r="J11" s="8" t="inlineStr">
        <is>
          <t>Pending</t>
        </is>
      </c>
      <c r="K11" s="7" t="inlineStr"/>
      <c r="L11" s="7" t="inlineStr">
        <is>
          <t>Need leadership input</t>
        </is>
      </c>
    </row>
    <row r="12" ht="42" customHeight="1">
      <c r="A12" s="9" t="n">
        <v>8</v>
      </c>
      <c r="B12" s="9" t="inlineStr">
        <is>
          <t>May 4, 2026</t>
        </is>
      </c>
      <c r="C12" s="9" t="inlineStr">
        <is>
          <t>Adele Hillman</t>
        </is>
      </c>
      <c r="D12" s="9" t="inlineStr">
        <is>
          <t>Footer</t>
        </is>
      </c>
      <c r="E12" s="9" t="inlineStr">
        <is>
          <t>Footer logo proportion</t>
        </is>
      </c>
      <c r="F12" s="9" t="inlineStr">
        <is>
          <t>Logo at bottom — need either the full Consultants Logo or more space between signature logo and the rest.</t>
        </is>
      </c>
      <c r="G12" s="9" t="inlineStr">
        <is>
          <t>Done (option B). Added .site-footer .brand override to gap 1.25rem in styles.css. If you prefer the full Consultants lockup PNG instead, send me the asset and I'll swap.</t>
        </is>
      </c>
      <c r="H12" s="9" t="inlineStr">
        <is>
          <t>Collin (web)</t>
        </is>
      </c>
      <c r="I12" s="8" t="inlineStr">
        <is>
          <t>Med</t>
        </is>
      </c>
      <c r="J12" s="11" t="inlineStr">
        <is>
          <t>Updated</t>
        </is>
      </c>
      <c r="K12" s="9" t="inlineStr"/>
      <c r="L12" s="9" t="inlineStr">
        <is>
          <t>Live after next push</t>
        </is>
      </c>
    </row>
    <row r="13" ht="40" customHeight="1">
      <c r="A13" s="7" t="n">
        <v>9</v>
      </c>
      <c r="B13" s="7" t="inlineStr">
        <is>
          <t>May 4, 2026</t>
        </is>
      </c>
      <c r="C13" s="7" t="inlineStr">
        <is>
          <t>Adele Hillman</t>
        </is>
      </c>
      <c r="D13" s="7" t="inlineStr">
        <is>
          <t>Footer</t>
        </is>
      </c>
      <c r="E13" s="7" t="inlineStr">
        <is>
          <t>Site map BC/AB on one line</t>
        </is>
      </c>
      <c r="F13" s="7" t="inlineStr">
        <is>
          <t>Site map: BC Team AB Team is on one line.</t>
        </is>
      </c>
      <c r="G13" s="7" t="inlineStr">
        <is>
          <t>Done. Added the missing &lt;/li&gt; between BC Team and AB Team links across all 36 pages with the bug.</t>
        </is>
      </c>
      <c r="H13" s="7" t="inlineStr">
        <is>
          <t>Collin (web)</t>
        </is>
      </c>
      <c r="I13" s="12" t="inlineStr">
        <is>
          <t>High</t>
        </is>
      </c>
      <c r="J13" s="11" t="inlineStr">
        <is>
          <t>Updated</t>
        </is>
      </c>
      <c r="K13" s="7" t="inlineStr"/>
      <c r="L13" s="7" t="inlineStr">
        <is>
          <t>Live after next push</t>
        </is>
      </c>
    </row>
    <row r="14" ht="70" customHeight="1">
      <c r="A14" s="9" t="n">
        <v>10</v>
      </c>
      <c r="B14" s="9" t="inlineStr">
        <is>
          <t>May 4, 2026</t>
        </is>
      </c>
      <c r="C14" s="9" t="inlineStr">
        <is>
          <t>Adele Hillman</t>
        </is>
      </c>
      <c r="D14" s="9" t="inlineStr">
        <is>
          <t>Approach</t>
        </is>
      </c>
      <c r="E14" s="9" t="inlineStr">
        <is>
          <t>P3 bridging work</t>
        </is>
      </c>
      <c r="F14" s="9" t="inlineStr">
        <is>
          <t>For P3s — we've done a fair bit of bridging work — does that affect things here?</t>
        </is>
      </c>
      <c r="G14" s="9" t="inlineStr">
        <is>
          <t>Done. Added bridging-consultant capability to the P3 description on approach.html: 'we have served as M&amp;E consultants on multiple Canadian P3 pursuits and bring substantial bridging-consultant experience for owners and proponents preparing or responding to P3 procurement documents.'</t>
        </is>
      </c>
      <c r="H14" s="9" t="inlineStr">
        <is>
          <t>Collin</t>
        </is>
      </c>
      <c r="I14" s="8" t="inlineStr">
        <is>
          <t>Med</t>
        </is>
      </c>
      <c r="J14" s="11" t="inlineStr">
        <is>
          <t>Updated</t>
        </is>
      </c>
      <c r="K14" s="9" t="inlineStr"/>
      <c r="L14" s="9" t="inlineStr">
        <is>
          <t>Live after next push</t>
        </is>
      </c>
    </row>
    <row r="15" ht="42" customHeight="1">
      <c r="A15" s="7" t="n">
        <v>11</v>
      </c>
      <c r="B15" s="7" t="inlineStr">
        <is>
          <t>May 4, 2026</t>
        </is>
      </c>
      <c r="C15" s="7" t="inlineStr">
        <is>
          <t>Adele Hillman</t>
        </is>
      </c>
      <c r="D15" s="7" t="inlineStr">
        <is>
          <t>Approach</t>
        </is>
      </c>
      <c r="E15" s="7" t="inlineStr">
        <is>
          <t>PIT acronym</t>
        </is>
      </c>
      <c r="F15" s="7" t="inlineStr">
        <is>
          <t>PIT — is the acronym Process Improvement Teams or Project Implementation Team?</t>
        </is>
      </c>
      <c r="G15" s="7" t="inlineStr">
        <is>
          <t>Done. Standardized to 'Project Implementation Teams (PITs)' on approach.html (was 'Process Improvement Teams'). This now matches the Kamloops project page and IPD industry standard.</t>
        </is>
      </c>
      <c r="H15" s="7" t="inlineStr">
        <is>
          <t>Collin</t>
        </is>
      </c>
      <c r="I15" s="13" t="inlineStr">
        <is>
          <t>Low</t>
        </is>
      </c>
      <c r="J15" s="11" t="inlineStr">
        <is>
          <t>Updated</t>
        </is>
      </c>
      <c r="K15" s="7" t="inlineStr"/>
      <c r="L15" s="7" t="inlineStr">
        <is>
          <t>Live after next push</t>
        </is>
      </c>
    </row>
    <row r="16" ht="42" customHeight="1">
      <c r="A16" s="9" t="n">
        <v>12</v>
      </c>
      <c r="B16" s="9" t="inlineStr">
        <is>
          <t>May 4, 2026</t>
        </is>
      </c>
      <c r="C16" s="9" t="inlineStr">
        <is>
          <t>Adele Hillman</t>
        </is>
      </c>
      <c r="D16" s="9" t="inlineStr">
        <is>
          <t>Approach</t>
        </is>
      </c>
      <c r="E16" s="9" t="inlineStr">
        <is>
          <t>EGBC → generic</t>
        </is>
      </c>
      <c r="F16" s="9" t="inlineStr">
        <is>
          <t>Standards we work under — you list EGBC — can we make this generic to licensed to work across Canada or something?</t>
        </is>
      </c>
      <c r="G16" s="9" t="inlineStr">
        <is>
          <t>Done. Replaced 'Engineers and Geoscientists BC' with 'Licensed to practice across Canada (EGBC, APEGA, APEGS, PEO and equivalents), with engineers stamping per local jurisdiction.'</t>
        </is>
      </c>
      <c r="H16" s="9" t="inlineStr">
        <is>
          <t>Collin</t>
        </is>
      </c>
      <c r="I16" s="8" t="inlineStr">
        <is>
          <t>Med</t>
        </is>
      </c>
      <c r="J16" s="11" t="inlineStr">
        <is>
          <t>Updated</t>
        </is>
      </c>
      <c r="K16" s="9" t="inlineStr"/>
      <c r="L16" s="9" t="inlineStr">
        <is>
          <t>Live after next push</t>
        </is>
      </c>
    </row>
    <row r="17" ht="56" customHeight="1">
      <c r="A17" s="7" t="n">
        <v>13</v>
      </c>
      <c r="B17" s="7" t="inlineStr">
        <is>
          <t>May 4, 2026</t>
        </is>
      </c>
      <c r="C17" s="7" t="inlineStr">
        <is>
          <t>Adele Hillman</t>
        </is>
      </c>
      <c r="D17" s="7" t="inlineStr">
        <is>
          <t>Experience</t>
        </is>
      </c>
      <c r="E17" s="7" t="inlineStr">
        <is>
          <t>Image permissions</t>
        </is>
      </c>
      <c r="F17" s="7" t="inlineStr">
        <is>
          <t>Images — if this isn't searchable, I have little concern on image licensing. If it's something that will be searchable or sharable, ensure we have the right permissions (KCA, Burnaby, Langley in particular).</t>
        </is>
      </c>
      <c r="G17" s="7" t="inlineStr">
        <is>
          <t>Action required only if site goes public. Currently password-gated, so images are not publicly indexed. If we ever go public, audit image permissions for KCA, Burnaby RCMP, and Langley Fire Hall renderings.</t>
        </is>
      </c>
      <c r="H17" s="7" t="inlineStr">
        <is>
          <t>Collin / Adele</t>
        </is>
      </c>
      <c r="I17" s="8" t="inlineStr">
        <is>
          <t>Med</t>
        </is>
      </c>
      <c r="J17" s="8" t="inlineStr">
        <is>
          <t>Pending</t>
        </is>
      </c>
      <c r="K17" s="7" t="inlineStr"/>
      <c r="L17" s="7" t="inlineStr">
        <is>
          <t>Conditional on going public</t>
        </is>
      </c>
    </row>
    <row r="18" ht="56" customHeight="1">
      <c r="A18" s="9" t="n">
        <v>14</v>
      </c>
      <c r="B18" s="9" t="inlineStr">
        <is>
          <t>May 4, 2026</t>
        </is>
      </c>
      <c r="C18" s="9" t="inlineStr">
        <is>
          <t>Adele Hillman</t>
        </is>
      </c>
      <c r="D18" s="9" t="inlineStr">
        <is>
          <t>Experience</t>
        </is>
      </c>
      <c r="E18" s="9" t="inlineStr">
        <is>
          <t>Project QA/QC</t>
        </is>
      </c>
      <c r="F18" s="9" t="inlineStr">
        <is>
          <t>I have not gone through the projects as a QA/QC. If that needs to be done I'll ask Ashley or Bhavina.</t>
        </is>
      </c>
      <c r="G18" s="9" t="inlineStr">
        <is>
          <t>Accept. Engage Ashley or Bhavina for technical QA/QC pass on all 31 project profiles before this site is shared with clients. Especially important for the 4 mcw.com-only confirmed projects (Kanata, GO Whitby, GO Streetsville, Ajax GO).</t>
        </is>
      </c>
      <c r="H18" s="9" t="inlineStr">
        <is>
          <t>Adele to engage Ashley/Bhavina</t>
        </is>
      </c>
      <c r="I18" s="12" t="inlineStr">
        <is>
          <t>High</t>
        </is>
      </c>
      <c r="J18" s="8" t="inlineStr">
        <is>
          <t>Pending</t>
        </is>
      </c>
      <c r="K18" s="9" t="inlineStr"/>
      <c r="L18" s="9" t="inlineStr">
        <is>
          <t>Pre-share gate</t>
        </is>
      </c>
    </row>
    <row r="19" ht="40" customHeight="1">
      <c r="A19" s="7" t="n">
        <v>15</v>
      </c>
      <c r="B19" s="7" t="inlineStr">
        <is>
          <t>May 4, 2026</t>
        </is>
      </c>
      <c r="C19" s="7" t="inlineStr">
        <is>
          <t>Adele Hillman</t>
        </is>
      </c>
      <c r="D19" s="7" t="inlineStr">
        <is>
          <t>BC Team</t>
        </is>
      </c>
      <c r="E19" s="7" t="inlineStr">
        <is>
          <t>Graham IPD experience</t>
        </is>
      </c>
      <c r="F19" s="7" t="inlineStr">
        <is>
          <t>Graham's [bio] doesn't reference his IPD experience.</t>
        </is>
      </c>
      <c r="G19" s="7" t="inlineStr">
        <is>
          <t>Accept. Update Graham's bc-team.html bio to call out specific IPD project work and his role under collaborative delivery agreements.</t>
        </is>
      </c>
      <c r="H19" s="7" t="inlineStr">
        <is>
          <t>Collin</t>
        </is>
      </c>
      <c r="I19" s="8" t="inlineStr">
        <is>
          <t>Med</t>
        </is>
      </c>
      <c r="J19" s="8" t="inlineStr">
        <is>
          <t>Pending</t>
        </is>
      </c>
      <c r="K19" s="7" t="inlineStr"/>
      <c r="L19" s="7" t="inlineStr">
        <is>
          <t>Need IPD project list from Graham</t>
        </is>
      </c>
    </row>
    <row r="20" ht="40" customHeight="1">
      <c r="A20" s="9" t="n">
        <v>16</v>
      </c>
      <c r="B20" s="9" t="inlineStr">
        <is>
          <t>May 4, 2026</t>
        </is>
      </c>
      <c r="C20" s="9" t="inlineStr">
        <is>
          <t>Adele Hillman</t>
        </is>
      </c>
      <c r="D20" s="9" t="inlineStr">
        <is>
          <t>BC Team</t>
        </is>
      </c>
      <c r="E20" s="9" t="inlineStr">
        <is>
          <t>Michael IPD experience</t>
        </is>
      </c>
      <c r="F20" s="9" t="inlineStr">
        <is>
          <t>[Michael's bio doesn't reference his IPD experience], same for Michael.</t>
        </is>
      </c>
      <c r="G20" s="9" t="inlineStr">
        <is>
          <t>Accept. Update Michael Driedger's bc-team.html bio to call out IPD experience including sustainability scope on collaborative-delivery projects.</t>
        </is>
      </c>
      <c r="H20" s="9" t="inlineStr">
        <is>
          <t>Collin</t>
        </is>
      </c>
      <c r="I20" s="8" t="inlineStr">
        <is>
          <t>Med</t>
        </is>
      </c>
      <c r="J20" s="8" t="inlineStr">
        <is>
          <t>Pending</t>
        </is>
      </c>
      <c r="K20" s="9" t="inlineStr"/>
      <c r="L20" s="9" t="inlineStr">
        <is>
          <t>Need IPD project list from Michael</t>
        </is>
      </c>
    </row>
    <row r="21" ht="56" customHeight="1">
      <c r="A21" s="7" t="n">
        <v>17</v>
      </c>
      <c r="B21" s="7" t="inlineStr">
        <is>
          <t>May 4, 2026</t>
        </is>
      </c>
      <c r="C21" s="7" t="inlineStr">
        <is>
          <t>Adele Hillman</t>
        </is>
      </c>
      <c r="D21" s="7" t="inlineStr">
        <is>
          <t>BC Team</t>
        </is>
      </c>
      <c r="E21" s="7" t="inlineStr">
        <is>
          <t>Associates → PM umbrella</t>
        </is>
      </c>
      <c r="F21" s="7" t="inlineStr">
        <is>
          <t>Associates — not sure why we're including them as Associates instead of using a PM umbrella so we can show Kaan as well and his KCA stuff.</t>
        </is>
      </c>
      <c r="G21" s="7" t="inlineStr">
        <is>
          <t>Accept. Restructure BC Team page: replace 'Associates' grouping with 'Project Managers' umbrella, which lets us include Kaan (KCA project) alongside Melissa and Matt. Add Josh Tanner to the same group (per next comment).</t>
        </is>
      </c>
      <c r="H21" s="7" t="inlineStr">
        <is>
          <t>Collin (web)</t>
        </is>
      </c>
      <c r="I21" s="12" t="inlineStr">
        <is>
          <t>High</t>
        </is>
      </c>
      <c r="J21" s="8" t="inlineStr">
        <is>
          <t>Pending</t>
        </is>
      </c>
      <c r="K21" s="7" t="inlineStr"/>
      <c r="L21" s="7" t="inlineStr">
        <is>
          <t>Need PM list + bios + headshots</t>
        </is>
      </c>
    </row>
    <row r="22" ht="40" customHeight="1">
      <c r="A22" s="9" t="n">
        <v>18</v>
      </c>
      <c r="B22" s="9" t="inlineStr">
        <is>
          <t>May 4, 2026</t>
        </is>
      </c>
      <c r="C22" s="9" t="inlineStr">
        <is>
          <t>Adele Hillman</t>
        </is>
      </c>
      <c r="D22" s="9" t="inlineStr">
        <is>
          <t>BC Team</t>
        </is>
      </c>
      <c r="E22" s="9" t="inlineStr">
        <is>
          <t>Missing Josh Tanner</t>
        </is>
      </c>
      <c r="F22" s="9" t="inlineStr">
        <is>
          <t>Also missing Josh Tanner.</t>
        </is>
      </c>
      <c r="G22" s="9" t="inlineStr">
        <is>
          <t>Accept. Add Josh Tanner to BC Team under PM/Associate group. Need bio + headshot.</t>
        </is>
      </c>
      <c r="H22" s="9" t="inlineStr">
        <is>
          <t>Collin to source content</t>
        </is>
      </c>
      <c r="I22" s="12" t="inlineStr">
        <is>
          <t>High</t>
        </is>
      </c>
      <c r="J22" s="8" t="inlineStr">
        <is>
          <t>Pending</t>
        </is>
      </c>
      <c r="K22" s="9" t="inlineStr"/>
      <c r="L22" s="9" t="inlineStr">
        <is>
          <t>Need bio + headshot</t>
        </is>
      </c>
    </row>
    <row r="23" ht="40" customHeight="1">
      <c r="A23" s="7" t="n">
        <v>19</v>
      </c>
      <c r="B23" s="7" t="inlineStr">
        <is>
          <t>May 4, 2026</t>
        </is>
      </c>
      <c r="C23" s="7" t="inlineStr">
        <is>
          <t>Adele Hillman</t>
        </is>
      </c>
      <c r="D23" s="7" t="inlineStr">
        <is>
          <t>BC Team</t>
        </is>
      </c>
      <c r="E23" s="7" t="inlineStr">
        <is>
          <t>Vancouver staff count</t>
        </is>
      </c>
      <c r="F23" s="7" t="inlineStr">
        <is>
          <t>Staff count — you list 28 for Van but I think it's 64.</t>
        </is>
      </c>
      <c r="G23" s="7" t="inlineStr">
        <is>
          <t>Done. Found '28 staff' on bc-team.html National Bench section; corrected to '64 staff'.</t>
        </is>
      </c>
      <c r="H23" s="7" t="inlineStr">
        <is>
          <t>Collin (web)</t>
        </is>
      </c>
      <c r="I23" s="8" t="inlineStr">
        <is>
          <t>Med</t>
        </is>
      </c>
      <c r="J23" s="11" t="inlineStr">
        <is>
          <t>Updated</t>
        </is>
      </c>
      <c r="K23" s="7" t="inlineStr"/>
      <c r="L23" s="7" t="inlineStr">
        <is>
          <t>Live after next push</t>
        </is>
      </c>
    </row>
    <row r="24" ht="40" customHeight="1">
      <c r="A24" s="9" t="n">
        <v>20</v>
      </c>
      <c r="B24" s="9" t="inlineStr">
        <is>
          <t>May 4, 2026</t>
        </is>
      </c>
      <c r="C24" s="9" t="inlineStr">
        <is>
          <t>Adele Hillman</t>
        </is>
      </c>
      <c r="D24" s="9" t="inlineStr">
        <is>
          <t>BC Team</t>
        </is>
      </c>
      <c r="E24" s="9" t="inlineStr">
        <is>
          <t>2 Associates → 3</t>
        </is>
      </c>
      <c r="F24" s="9" t="inlineStr">
        <is>
          <t>2 Associates — should be 3 (Josh).</t>
        </is>
      </c>
      <c r="G24" s="9" t="inlineStr">
        <is>
          <t>Accept. Resolved by 'Add Josh Tanner' action above. Once Josh is added, count goes from 2 to 3.</t>
        </is>
      </c>
      <c r="H24" s="9" t="inlineStr">
        <is>
          <t>Collin (web)</t>
        </is>
      </c>
      <c r="I24" s="8" t="inlineStr">
        <is>
          <t>Med</t>
        </is>
      </c>
      <c r="J24" s="8" t="inlineStr">
        <is>
          <t>Pending</t>
        </is>
      </c>
      <c r="K24" s="9" t="inlineStr"/>
      <c r="L24" s="9" t="inlineStr">
        <is>
          <t>Bundled with Josh add</t>
        </is>
      </c>
    </row>
    <row r="25" ht="70" customHeight="1">
      <c r="A25" s="7" t="n">
        <v>21</v>
      </c>
      <c r="B25" s="7" t="inlineStr">
        <is>
          <t>May 4, 2026</t>
        </is>
      </c>
      <c r="C25" s="7" t="inlineStr">
        <is>
          <t>Adele Hillman</t>
        </is>
      </c>
      <c r="D25" s="7" t="inlineStr">
        <is>
          <t>AB Team</t>
        </is>
      </c>
      <c r="E25" s="7" t="inlineStr">
        <is>
          <t>James — Status confirmation</t>
        </is>
      </c>
      <c r="F25" s="7" t="inlineStr">
        <is>
          <t>James — he needs to confirm he's OK with his Status being published there.</t>
        </is>
      </c>
      <c r="G25" s="7" t="inlineStr">
        <is>
          <t>Done. Removed 'Cowichan Tribes' from credentials line (now 'MBA · CET · CEM · LEED AP · Calgary') and removed the 'He is a status indigenous person of the Cowichan Tribes' sentence from his bio. James can request reinstatement once he gives explicit consent.</t>
        </is>
      </c>
      <c r="H25" s="7" t="inlineStr">
        <is>
          <t>Collin (web)</t>
        </is>
      </c>
      <c r="I25" s="12" t="inlineStr">
        <is>
          <t>High</t>
        </is>
      </c>
      <c r="J25" s="11" t="inlineStr">
        <is>
          <t>Updated</t>
        </is>
      </c>
      <c r="K25" s="7" t="inlineStr"/>
      <c r="L25" s="7" t="inlineStr">
        <is>
          <t>Live after next push</t>
        </is>
      </c>
    </row>
    <row r="26" ht="40" customHeight="1">
      <c r="A26" s="9" t="n">
        <v>22</v>
      </c>
      <c r="B26" s="9" t="inlineStr">
        <is>
          <t>May 4, 2026</t>
        </is>
      </c>
      <c r="C26" s="9" t="inlineStr">
        <is>
          <t>Adele Hillman</t>
        </is>
      </c>
      <c r="D26" s="9" t="inlineStr">
        <is>
          <t>AB Team</t>
        </is>
      </c>
      <c r="E26" s="9" t="inlineStr">
        <is>
          <t>Sean P3 healthcare</t>
        </is>
      </c>
      <c r="F26" s="9" t="inlineStr">
        <is>
          <t>Sean — P3 experience could be called out for healthcare.</t>
        </is>
      </c>
      <c r="G26" s="9" t="inlineStr">
        <is>
          <t>Accept. Add to Sean Piper's bio: specific reference to his P3 healthcare experience.</t>
        </is>
      </c>
      <c r="H26" s="9" t="inlineStr">
        <is>
          <t>Collin</t>
        </is>
      </c>
      <c r="I26" s="8" t="inlineStr">
        <is>
          <t>Med</t>
        </is>
      </c>
      <c r="J26" s="8" t="inlineStr">
        <is>
          <t>Pending</t>
        </is>
      </c>
      <c r="K26" s="9" t="inlineStr"/>
      <c r="L26" s="9" t="inlineStr">
        <is>
          <t>Need P3 healthcare project list from Sean</t>
        </is>
      </c>
    </row>
    <row r="27" ht="56" customHeight="1">
      <c r="A27" s="7" t="n">
        <v>23</v>
      </c>
      <c r="B27" s="7" t="inlineStr">
        <is>
          <t>May 4, 2026</t>
        </is>
      </c>
      <c r="C27" s="7" t="inlineStr">
        <is>
          <t>Adele Hillman</t>
        </is>
      </c>
      <c r="D27" s="7" t="inlineStr">
        <is>
          <t>AB Team</t>
        </is>
      </c>
      <c r="E27" s="7" t="inlineStr">
        <is>
          <t>Gus is a Principal</t>
        </is>
      </c>
      <c r="F27" s="7" t="inlineStr">
        <is>
          <t>Gus is a Principal.</t>
        </is>
      </c>
      <c r="G27" s="7" t="inlineStr">
        <is>
          <t>Done. Updated title from 'Senior Electrical / ICAT Lead' to 'Principal — Electrical / ICAT' — keeps ICAT specialty visible while reflecting Principal status. Bio also updated to lead with 'A Principal at MCW...'</t>
        </is>
      </c>
      <c r="H27" s="7" t="inlineStr">
        <is>
          <t>Collin (web)</t>
        </is>
      </c>
      <c r="I27" s="12" t="inlineStr">
        <is>
          <t>High</t>
        </is>
      </c>
      <c r="J27" s="11" t="inlineStr">
        <is>
          <t>Updated</t>
        </is>
      </c>
      <c r="K27" s="7" t="inlineStr"/>
      <c r="L27" s="7" t="inlineStr">
        <is>
          <t>Live after next push</t>
        </is>
      </c>
    </row>
    <row r="28" ht="40" customHeight="1">
      <c r="A28" s="9" t="n">
        <v>24</v>
      </c>
      <c r="B28" s="9" t="inlineStr">
        <is>
          <t>May 4, 2026</t>
        </is>
      </c>
      <c r="C28" s="9" t="inlineStr">
        <is>
          <t>Adele Hillman</t>
        </is>
      </c>
      <c r="D28" s="9" t="inlineStr">
        <is>
          <t>AB Team</t>
        </is>
      </c>
      <c r="E28" s="9" t="inlineStr">
        <is>
          <t>Missing Calgary Principals</t>
        </is>
      </c>
      <c r="F28" s="9" t="inlineStr">
        <is>
          <t>Missing Shilpa, Kevin, &amp; Simon as Principals (if you were following BC format).</t>
        </is>
      </c>
      <c r="G28" s="9" t="inlineStr">
        <is>
          <t>Accept. Add Shilpa, Kevin, and Simon as Principals on the Calgary section of ab-team.html. Need bios + headshots for each.</t>
        </is>
      </c>
      <c r="H28" s="9" t="inlineStr">
        <is>
          <t>Adele to source content</t>
        </is>
      </c>
      <c r="I28" s="12" t="inlineStr">
        <is>
          <t>High</t>
        </is>
      </c>
      <c r="J28" s="8" t="inlineStr">
        <is>
          <t>Pending</t>
        </is>
      </c>
      <c r="K28" s="9" t="inlineStr"/>
      <c r="L28" s="9" t="inlineStr">
        <is>
          <t>Need 3 bios + 3 headshots</t>
        </is>
      </c>
    </row>
    <row r="29" ht="70" customHeight="1">
      <c r="A29" s="7" t="n">
        <v>25</v>
      </c>
      <c r="B29" s="7" t="inlineStr">
        <is>
          <t>May 4, 2026</t>
        </is>
      </c>
      <c r="C29" s="7" t="inlineStr">
        <is>
          <t>Adele Hillman</t>
        </is>
      </c>
      <c r="D29" s="7" t="inlineStr">
        <is>
          <t>AB Team</t>
        </is>
      </c>
      <c r="E29" s="7" t="inlineStr">
        <is>
          <t>Todd LEED US/Can</t>
        </is>
      </c>
      <c r="F29" s="7" t="inlineStr">
        <is>
          <t>Todd — does LEED US/Can really matter?</t>
        </is>
      </c>
      <c r="G29" s="7" t="inlineStr">
        <is>
          <t>Done. Simplified to 'P.Eng. · LEED AP · Edmonton' on the AB Team card; bio updated to 'A LEED Accredited Professional' (was 'in both Canada and the US'). Contact page already said 'LEED AP' — no change there. If Todd wants the US designation reinstated, easy to revert.</t>
        </is>
      </c>
      <c r="H29" s="7" t="inlineStr">
        <is>
          <t>Collin (web)</t>
        </is>
      </c>
      <c r="I29" s="13" t="inlineStr">
        <is>
          <t>Low</t>
        </is>
      </c>
      <c r="J29" s="11" t="inlineStr">
        <is>
          <t>Updated</t>
        </is>
      </c>
      <c r="K29" s="7" t="inlineStr"/>
      <c r="L29" s="7" t="inlineStr">
        <is>
          <t>Live after next push</t>
        </is>
      </c>
    </row>
    <row r="30" ht="40" customHeight="1">
      <c r="A30" s="9" t="n">
        <v>26</v>
      </c>
      <c r="B30" s="9" t="inlineStr">
        <is>
          <t>May 4, 2026</t>
        </is>
      </c>
      <c r="C30" s="9" t="inlineStr">
        <is>
          <t>Adele Hillman</t>
        </is>
      </c>
      <c r="D30" s="9" t="inlineStr">
        <is>
          <t>AB Team</t>
        </is>
      </c>
      <c r="E30" s="9" t="inlineStr">
        <is>
          <t>Missing Edmonton associates</t>
        </is>
      </c>
      <c r="F30" s="9" t="inlineStr">
        <is>
          <t>Paul Truong, Calvin Vander Leest are electrical associates [missing].</t>
        </is>
      </c>
      <c r="G30" s="9" t="inlineStr">
        <is>
          <t>Accept. Add Paul Truong and Calvin Vander Leest to Edmonton section as Electrical Associates. Need bios + headshots.</t>
        </is>
      </c>
      <c r="H30" s="9" t="inlineStr">
        <is>
          <t>Adele to source content</t>
        </is>
      </c>
      <c r="I30" s="12" t="inlineStr">
        <is>
          <t>High</t>
        </is>
      </c>
      <c r="J30" s="8" t="inlineStr">
        <is>
          <t>Pending</t>
        </is>
      </c>
      <c r="K30" s="9" t="inlineStr"/>
      <c r="L30" s="9" t="inlineStr">
        <is>
          <t>Need 2 bios + 2 headshots</t>
        </is>
      </c>
    </row>
    <row r="31" ht="56" customHeight="1">
      <c r="A31" s="7" t="n">
        <v>27</v>
      </c>
      <c r="B31" s="7" t="inlineStr">
        <is>
          <t>May 4, 2026</t>
        </is>
      </c>
      <c r="C31" s="7" t="inlineStr">
        <is>
          <t>Adele Hillman</t>
        </is>
      </c>
      <c r="D31" s="7" t="inlineStr">
        <is>
          <t>Contact</t>
        </is>
      </c>
      <c r="E31" s="7" t="inlineStr">
        <is>
          <t>'What we will need' layout</t>
        </is>
      </c>
      <c r="F31" s="7" t="inlineStr">
        <is>
          <t>What we will need — change to short note on items on the right instead of below.</t>
        </is>
      </c>
      <c r="G31" s="7" t="inlineStr">
        <is>
          <t>Done. Tightened the right-column callout from two long callouts into one compact callout — 'Tell us' bullet list + inline 'You'll hear back' cadence. Heading simplified to 'To confirm fit, send us a short note.'</t>
        </is>
      </c>
      <c r="H31" s="7" t="inlineStr">
        <is>
          <t>Collin (web)</t>
        </is>
      </c>
      <c r="I31" s="8" t="inlineStr">
        <is>
          <t>Med</t>
        </is>
      </c>
      <c r="J31" s="11" t="inlineStr">
        <is>
          <t>Updated</t>
        </is>
      </c>
      <c r="K31" s="7" t="inlineStr"/>
      <c r="L31" s="7" t="inlineStr">
        <is>
          <t>Live after next push</t>
        </is>
      </c>
    </row>
    <row r="32" ht="84" customHeight="1">
      <c r="A32" s="9" t="n">
        <v>28</v>
      </c>
      <c r="B32" s="9" t="inlineStr">
        <is>
          <t>May 4, 2026</t>
        </is>
      </c>
      <c r="C32" s="9" t="inlineStr">
        <is>
          <t>Adele Hillman</t>
        </is>
      </c>
      <c r="D32" s="9" t="inlineStr">
        <is>
          <t>Contact</t>
        </is>
      </c>
      <c r="E32" s="9" t="inlineStr">
        <is>
          <t>Map replacement</t>
        </is>
      </c>
      <c r="F32" s="9" t="inlineStr">
        <is>
          <t>Map — we have a better one I'll send separately.</t>
        </is>
      </c>
      <c r="G32" s="9" t="inlineStr">
        <is>
          <t>Done. Adele's new map (Map/Map.jpg, 863x760 — Canada outline with green pins already placed at all MCW office cities) installed as assets/canada-map.jpg. Replaced the previous SVG+overlay-dots structure with a single clean img element. Map legend kept beneath. CSS unchanged (canada-map container already styles correctly).</t>
        </is>
      </c>
      <c r="H32" s="9" t="inlineStr">
        <is>
          <t>Collin (web)</t>
        </is>
      </c>
      <c r="I32" s="8" t="inlineStr">
        <is>
          <t>Med</t>
        </is>
      </c>
      <c r="J32" s="11" t="inlineStr">
        <is>
          <t>Updated</t>
        </is>
      </c>
      <c r="K32" s="9" t="inlineStr"/>
      <c r="L32" s="9" t="inlineStr">
        <is>
          <t>Live after next push</t>
        </is>
      </c>
    </row>
    <row r="33" ht="70" customHeight="1">
      <c r="A33" s="7" t="n">
        <v>29</v>
      </c>
      <c r="B33" s="7" t="inlineStr">
        <is>
          <t>May 4, 2026</t>
        </is>
      </c>
      <c r="C33" s="7" t="inlineStr">
        <is>
          <t>Adele Hillman</t>
        </is>
      </c>
      <c r="D33" s="7" t="inlineStr">
        <is>
          <t>Contact</t>
        </is>
      </c>
      <c r="E33" s="7" t="inlineStr">
        <is>
          <t>Office order — Van first</t>
        </is>
      </c>
      <c r="F33" s="7" t="inlineStr">
        <is>
          <t>Location order — doesn't make sense to lead with TO when this is for BC opps — suggest putting Van first.</t>
        </is>
      </c>
      <c r="G33" s="7" t="inlineStr">
        <is>
          <t>Done. Reordered footer cities list across all 38 pages from 'Toronto • Vancouver • Calgary • Edmonton • Winnipeg • Ottawa • Saint John • Moncton • Halifax' to 'Vancouver • Edmonton • Calgary • Toronto • Winnipeg • Ottawa • Saint John • Moncton • Halifax' — VEC offices first, then national.</t>
        </is>
      </c>
      <c r="H33" s="7" t="inlineStr">
        <is>
          <t>Collin (web)</t>
        </is>
      </c>
      <c r="I33" s="8" t="inlineStr">
        <is>
          <t>Med</t>
        </is>
      </c>
      <c r="J33" s="11" t="inlineStr">
        <is>
          <t>Updated</t>
        </is>
      </c>
      <c r="K33" s="7" t="inlineStr"/>
      <c r="L33" s="7" t="inlineStr">
        <is>
          <t>Live after next push</t>
        </is>
      </c>
    </row>
    <row r="34" ht="70" customHeight="1">
      <c r="A34" s="9" t="n">
        <v>30</v>
      </c>
      <c r="B34" s="9" t="inlineStr">
        <is>
          <t>May 4, 2026</t>
        </is>
      </c>
      <c r="C34" s="9" t="inlineStr">
        <is>
          <t>Adele Hillman</t>
        </is>
      </c>
      <c r="D34" s="9" t="inlineStr">
        <is>
          <t>Contact</t>
        </is>
      </c>
      <c r="E34" s="9" t="inlineStr">
        <is>
          <t>Calgary healthcare callout</t>
        </is>
      </c>
      <c r="F34" s="9" t="inlineStr">
        <is>
          <t>Calgary — add healthcare alternative delivery to cover more sectors.</t>
        </is>
      </c>
      <c r="G34" s="9" t="inlineStr">
        <is>
          <t>Done. Added 'Calgary office sectors' callout under the partner contacts on the Calgary card: 'Healthcare alternative delivery, energy management and decarbonisation, education and post-secondary, commercial, retail, recreation, government, and First Nation projects.'</t>
        </is>
      </c>
      <c r="H34" s="9" t="inlineStr">
        <is>
          <t>Collin</t>
        </is>
      </c>
      <c r="I34" s="8" t="inlineStr">
        <is>
          <t>Med</t>
        </is>
      </c>
      <c r="J34" s="11" t="inlineStr">
        <is>
          <t>Updated</t>
        </is>
      </c>
      <c r="K34" s="9" t="inlineStr"/>
      <c r="L34" s="9" t="inlineStr">
        <is>
          <t>Live after next push</t>
        </is>
      </c>
    </row>
  </sheetData>
  <autoFilter ref="A4:L34"/>
  <mergeCells count="3">
    <mergeCell ref="A2:L2"/>
    <mergeCell ref="N1:O1"/>
    <mergeCell ref="A1:L1"/>
  </mergeCells>
  <printOptions horizontalCentered="1"/>
  <pageMargins left="0.75" right="0.75" top="1" bottom="1" header="0.5" footer="0.5"/>
  <pageSetup orientation="landscape" paperSize="4"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2026-05-16T02:16:25Z</dcterms:created>
  <dcterms:modified xmlns:dcterms="http://purl.org/dc/terms/" xmlns:xsi="http://www.w3.org/2001/XMLSchema-instance" xsi:type="dcterms:W3CDTF">2026-05-16T02:16:25Z</dcterms:modified>
</cp:coreProperties>
</file>