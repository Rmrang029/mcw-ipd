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Comments Tracker" sheetId="2" state="visible" r:id="rId4"/>
  </sheets>
  <definedNames>
    <definedName function="false" hidden="true" localSheetId="1" name="_xlnm._FilterDatabase" vbProcedure="false">'Comments Tracker'!$A$4:$L$34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<sst xmlns="http://schemas.openxmlformats.org/spreadsheetml/2006/main" count="372" uniqueCount="191">
  <si>
    <t xml:space="preserve">MCW VEC Website — Adele Review Status</t>
  </si>
  <si>
    <t xml:space="preserve">Source: Adele Hillman feedback, May 4, 2026  |  Status report for Adele</t>
  </si>
  <si>
    <t xml:space="preserve">Comments tally</t>
  </si>
  <si>
    <t xml:space="preserve">Total comments received</t>
  </si>
  <si>
    <t xml:space="preserve">30</t>
  </si>
  <si>
    <t xml:space="preserve">Updated / Live (or ready to push)</t>
  </si>
  <si>
    <t xml:space="preserve">Partial — multi-step in progress</t>
  </si>
  <si>
    <t xml:space="preserve">Confirmed (no action needed)</t>
  </si>
  <si>
    <t xml:space="preserve">Pending (needs Adele/team input)</t>
  </si>
  <si>
    <t xml:space="preserve">Major actions taken on Adele's feedback</t>
  </si>
  <si>
    <t xml:space="preserve">✓ Brand — Adopted Adele's wordmark: 'Collaborative Delivery' / 'from Vancouver • Edmonton • Calgary'</t>
  </si>
  <si>
    <t xml:space="preserve">✓ Brand — Browser-tab page titles updated to drop 'MCW VEC' across all 38 pages</t>
  </si>
  <si>
    <t xml:space="preserve">✓ Brand — Header and footer logo spacing increased (gap 0.7rem → 1.1rem header / 1.25rem footer)</t>
  </si>
  <si>
    <t xml:space="preserve">✓ Home — Hero copy: 'design, decide, and BUILD' → 'design, decide, and DELIVER' (we don't build)</t>
  </si>
  <si>
    <t xml:space="preserve">✓ Home — Geography reframed from 'BC to Ontario' to 'Western Canada' with VEC focus</t>
  </si>
  <si>
    <t xml:space="preserve">✓ Home — Alliance added to delivery-models list with forward-looking framing</t>
  </si>
  <si>
    <t xml:space="preserve">✓ Approach — P3 description now mentions MCW's bridging-consultant experience</t>
  </si>
  <si>
    <t xml:space="preserve">✓ Approach — PIT acronym standardized to 'Project Implementation Teams'</t>
  </si>
  <si>
    <t xml:space="preserve">✓ Approach — EGBC line broadened to 'Licensed to practice across Canada (EGBC, APEGA, APEGS, PEO and equivalents)'</t>
  </si>
  <si>
    <t xml:space="preserve">✓ Footer — BUG FIX: missing &lt;/li&gt; between BC Team and AB Team on all 38 pages</t>
  </si>
  <si>
    <t xml:space="preserve">✓ Footer — Cities reordered to put Vancouver/Edmonton/Calgary first (VEC), then national</t>
  </si>
  <si>
    <t xml:space="preserve">✓ Contact — 'What we will need' section tightened to one compact callout instead of two long ones</t>
  </si>
  <si>
    <t xml:space="preserve">✓ Contact — Calgary office sectors callout added (leads with 'Healthcare alternative delivery')</t>
  </si>
  <si>
    <t xml:space="preserve">✓ Contact — New Canada map (Adele's image) installed; SVG-overlay-dots replaced with clean img</t>
  </si>
  <si>
    <t xml:space="preserve">✓ BC Team — Vancouver staff count corrected from 28 → 64</t>
  </si>
  <si>
    <t xml:space="preserve">✓ BC Team — Josh Tanner added to Associates (3 total now)</t>
  </si>
  <si>
    <t xml:space="preserve">✓ BC Team — Graham Lovely's IPD experience added (TOL Fire Hall 5, Kamloops Arts Centre)</t>
  </si>
  <si>
    <t xml:space="preserve">✓ BC Team — NEW 'Project Managers and engineering staff' section with 15 cards (face-cropped headshots, bios from Master Resume List, credentials)</t>
  </si>
  <si>
    <t xml:space="preserve">✓ AB Team — Gus Paiva promoted from 'Senior Electrical / ICAT Lead' to 'Principal — Electrical / ICAT'</t>
  </si>
  <si>
    <t xml:space="preserve">✓ AB Team — Todd McGaw LEED simplified from 'LEED AP (Canada and US)' to 'LEED AP'</t>
  </si>
  <si>
    <t xml:space="preserve">✓ AB Team — James Furlong's Cowichan Tribes Status reference removed pending consent</t>
  </si>
  <si>
    <t xml:space="preserve">✓ Experience — 22 project pages received real reference images (replacing green-gradient placeholders)</t>
  </si>
  <si>
    <t xml:space="preserve">✓ Experience — All 22 corresponding card thumbnails on Experience page updated to use real images</t>
  </si>
  <si>
    <t xml:space="preserve">Pending — needs Adele or team input</t>
  </si>
  <si>
    <t xml:space="preserve">• Michael Driedger IPD bio</t>
  </si>
  <si>
    <t xml:space="preserve">Need: list of his IPD projects to add</t>
  </si>
  <si>
    <t xml:space="preserve">• Sean Piper P3 healthcare</t>
  </si>
  <si>
    <t xml:space="preserve">Need: list of his P3 healthcare projects to call out</t>
  </si>
  <si>
    <t xml:space="preserve">• 3 Calgary Principals (Shilpa, Kevin, Simon)</t>
  </si>
  <si>
    <t xml:space="preserve">Need: bios + headshots</t>
  </si>
  <si>
    <t xml:space="preserve">• 2 Edmonton Associates (Paul Truong, Calvin Vander Leest)</t>
  </si>
  <si>
    <t xml:space="preserve">• Project QA/QC pass</t>
  </si>
  <si>
    <t xml:space="preserve">Adele to engage Ashley or Bhavina for technical QC on the 31 project profiles</t>
  </si>
  <si>
    <t xml:space="preserve">• James Furlong Cowichan Tribes consent</t>
  </si>
  <si>
    <t xml:space="preserve">Collin to confirm with James — currently removed pending consent</t>
  </si>
  <si>
    <t xml:space="preserve">• Image permissions audit</t>
  </si>
  <si>
    <t xml:space="preserve">Required only if site moves out of password-gated state — sources are documented</t>
  </si>
  <si>
    <t xml:space="preserve">• Searchability question</t>
  </si>
  <si>
    <t xml:space="preserve">Currently password-gated (StaticCrypt). Confirmed safe with phone/email visible behind gate. No action needed unless site goes public.</t>
  </si>
  <si>
    <t xml:space="preserve">Detailed comment-by-comment status is on the 'Comments Tracker' sheet (see tab below).</t>
  </si>
  <si>
    <t xml:space="preserve">MCW VEC Website — Marketing Team Comments Tracker</t>
  </si>
  <si>
    <t xml:space="preserve">Summary</t>
  </si>
  <si>
    <t xml:space="preserve">Source: Adele Hillman feedback email — May 4, 2026  |  Status as of report generation</t>
  </si>
  <si>
    <t xml:space="preserve">Total comments</t>
  </si>
  <si>
    <t xml:space="preserve">High priority</t>
  </si>
  <si>
    <t xml:space="preserve">ID</t>
  </si>
  <si>
    <t xml:space="preserve">Date Received</t>
  </si>
  <si>
    <t xml:space="preserve">Reviewer</t>
  </si>
  <si>
    <t xml:space="preserve">Site Section</t>
  </si>
  <si>
    <t xml:space="preserve">Comment Category</t>
  </si>
  <si>
    <t xml:space="preserve">Comment Detail</t>
  </si>
  <si>
    <t xml:space="preserve">MCW Proposed Action / Response</t>
  </si>
  <si>
    <t xml:space="preserve">Owner</t>
  </si>
  <si>
    <t xml:space="preserve">Priority</t>
  </si>
  <si>
    <t xml:space="preserve">Status</t>
  </si>
  <si>
    <t xml:space="preserve">Date Updated</t>
  </si>
  <si>
    <t xml:space="preserve">Notes</t>
  </si>
  <si>
    <t xml:space="preserve">Med priority</t>
  </si>
  <si>
    <t xml:space="preserve">May 4, 2026</t>
  </si>
  <si>
    <t xml:space="preserve">Adele Hillman</t>
  </si>
  <si>
    <t xml:space="preserve">General</t>
  </si>
  <si>
    <t xml:space="preserve">Searchability</t>
  </si>
  <si>
    <t xml:space="preserve">How does this site work for open searchability (with the phone numbers and emails on there)?</t>
  </si>
  <si>
    <t xml:space="preserve">The site is password-gated (StaticCrypt, password mcw2026) and the gate page sets robots: noindex/nofollow. Phone numbers and emails are NOT publicly searchable while behind the gate. If we ever remove the gate, we should review email/phone visibility before going public.</t>
  </si>
  <si>
    <t xml:space="preserve">Collin</t>
  </si>
  <si>
    <t xml:space="preserve">Med</t>
  </si>
  <si>
    <t xml:space="preserve">Pending</t>
  </si>
  <si>
    <t xml:space="preserve">Low priority</t>
  </si>
  <si>
    <t xml:space="preserve">Target Audience</t>
  </si>
  <si>
    <t xml:space="preserve">Confirming Target Audience: GCs, Architects, Owners, Trade Contractors for BC Alternative Delivery Projects.</t>
  </si>
  <si>
    <t xml:space="preserve">Confirmed. Tone, content, and image selection across the site are written for this audience. Copy and structure should continue to reinforce this focus.</t>
  </si>
  <si>
    <t xml:space="preserve">Low</t>
  </si>
  <si>
    <t xml:space="preserve">Confirmed</t>
  </si>
  <si>
    <t xml:space="preserve">Brand</t>
  </si>
  <si>
    <t xml:space="preserve">Header logo spacing</t>
  </si>
  <si>
    <t xml:space="preserve">Add more space between the signature logo top left and 'MCW VEC Collaborative Delivery'.</t>
  </si>
  <si>
    <t xml:space="preserve">Done. Increased .brand gap from 0.7rem to 1.1rem in styles.css; CSS cache bumped to v=14.</t>
  </si>
  <si>
    <t xml:space="preserve">Collin (web)</t>
  </si>
  <si>
    <t xml:space="preserve">Updated</t>
  </si>
  <si>
    <t xml:space="preserve">Live after next push</t>
  </si>
  <si>
    <t xml:space="preserve">Header wordmark structure</t>
  </si>
  <si>
    <t xml:space="preserve">Instead of 'MCW VEC' / 'Collaborative Delivery', consider moving 'Collaborative Delivery' to top line and spelling out 'from Vancouver • Edmonton • Calgary' on the second line.</t>
  </si>
  <si>
    <t xml:space="preserve">Done. Adopted Adele's version. Top line now reads 'Collaborative Delivery' and bottom line 'from Vancouver • Edmonton • Calgary' (uppercase + tracked). Mobile sub-line font reduced (0.62rem → 0.55rem, letter-spacing 0.08em → 0.04em) to fit longer text on phones. CSS cache bumped to v=15. Browser-tab page titles also updated to drop 'MCW VEC' — now use 'MCW Collaborative Delivery' across all 37 pages.</t>
  </si>
  <si>
    <t xml:space="preserve">Geography</t>
  </si>
  <si>
    <t xml:space="preserve">VEC vs national</t>
  </si>
  <si>
    <t xml:space="preserve">We say VEC throughout but homepage says 'national collaborative-delivery [...] from BC to Ontario' — so what geography are we actually going after?</t>
  </si>
  <si>
    <t xml:space="preserve">Done. Rewrote home.html lede to lead with VEC offices (Vancouver, Edmonton, Calgary), with 'supported by MCW's national bench when sector or scale calls for it.' Geography now reads 'Western Canada' instead of 'BC to Ontario'.</t>
  </si>
  <si>
    <t xml:space="preserve">High</t>
  </si>
  <si>
    <t xml:space="preserve">Won't Do</t>
  </si>
  <si>
    <t xml:space="preserve">Home</t>
  </si>
  <si>
    <t xml:space="preserve">Hero tagline 'design, decide, build'</t>
  </si>
  <si>
    <t xml:space="preserve">'A Collaborative Delivery partner who arrives ready to design, decide, and build.' — but we don't build. (No suggestion offered.)</t>
  </si>
  <si>
    <t xml:space="preserve">Done. Updated hero h1 from 'design, decide, and build' to 'design, decide, and deliver'. Open to alternative wording from leadership.</t>
  </si>
  <si>
    <t xml:space="preserve">Why MCW — Alliance</t>
  </si>
  <si>
    <t xml:space="preserve">'Why MCW for' — are we going to try to include Alliance?</t>
  </si>
  <si>
    <t xml:space="preserve">Done. Added Alliance to the home page 'Why MCW for Collaborative Delivery' lede with explicit forward-looking framing: 'IPD, CMAR, P3, Progressive Design-Build, and Alliance contracts as they emerge in Canadian infrastructure procurement.' Signals readiness without claiming project experience MCW does not yet have.</t>
  </si>
  <si>
    <t xml:space="preserve">Footer</t>
  </si>
  <si>
    <t xml:space="preserve">Footer logo proportion</t>
  </si>
  <si>
    <t xml:space="preserve">Logo at bottom — need either the full Consultants Logo or more space between signature logo and the rest.</t>
  </si>
  <si>
    <t xml:space="preserve">Done (option B). Added .site-footer .brand override to gap 1.25rem in styles.css. If you prefer the full Consultants lockup PNG instead, send me the asset and I'll swap.</t>
  </si>
  <si>
    <t xml:space="preserve">Site map BC/AB on one line</t>
  </si>
  <si>
    <t xml:space="preserve">Site map: BC Team AB Team is on one line.</t>
  </si>
  <si>
    <t xml:space="preserve">Done. Added the missing &lt;/li&gt; between BC Team and AB Team links across all 36 pages with the bug.</t>
  </si>
  <si>
    <t xml:space="preserve">Approach</t>
  </si>
  <si>
    <t xml:space="preserve">P3 bridging work</t>
  </si>
  <si>
    <t xml:space="preserve">For P3s — we've done a fair bit of bridging work — does that affect things here?</t>
  </si>
  <si>
    <t xml:space="preserve">Done. Added bridging-consultant capability to the P3 description on approach.html: 'we have served as M&amp;E consultants on multiple Canadian P3 pursuits and bring substantial bridging-consultant experience for owners and proponents preparing or responding to P3 procurement documents.'</t>
  </si>
  <si>
    <t xml:space="preserve">PIT acronym</t>
  </si>
  <si>
    <t xml:space="preserve">PIT — is the acronym Process Improvement Teams or Project Implementation Team?</t>
  </si>
  <si>
    <t xml:space="preserve">Done. Standardized to 'Project Implementation Teams (PITs)' on approach.html (was 'Process Improvement Teams'). This now matches the Kamloops project page and IPD industry standard.</t>
  </si>
  <si>
    <t xml:space="preserve">EGBC → generic</t>
  </si>
  <si>
    <t xml:space="preserve">Standards we work under — you list EGBC — can we make this generic to licensed to work across Canada or something?</t>
  </si>
  <si>
    <t xml:space="preserve">Done. Replaced 'Engineers and Geoscientists BC' with 'Licensed to practice across Canada (EGBC, APEGA, APEGS, PEO and equivalents), with engineers stamping per local jurisdiction.'</t>
  </si>
  <si>
    <t xml:space="preserve">Experience</t>
  </si>
  <si>
    <t xml:space="preserve">Image permissions</t>
  </si>
  <si>
    <t xml:space="preserve">Images — if this isn't searchable, I have little concern on image licensing. If it's something that will be searchable or sharable, ensure we have the right permissions (KCA, Burnaby, Langley in particular).</t>
  </si>
  <si>
    <t xml:space="preserve">Partial — 22 newly-sourced project images added (16 Wikipedia Commons CC, 4 architect portfolios, 2 government/news). Existing 9 project images (KCA, Burnaby RCMP, Langley, etc.) are pre-existing on the site. All sources documented internally. Full permissions audit still required IF the site ever moves out of the password-gated state.</t>
  </si>
  <si>
    <t xml:space="preserve">Collin / Adele</t>
  </si>
  <si>
    <t xml:space="preserve">Partial</t>
  </si>
  <si>
    <t xml:space="preserve">Sources documented; full audit needed pre-public</t>
  </si>
  <si>
    <t xml:space="preserve">Project QA/QC</t>
  </si>
  <si>
    <t xml:space="preserve">I have not gone through the projects as a QA/QC. If that needs to be done I'll ask Ashley or Bhavina.</t>
  </si>
  <si>
    <t xml:space="preserve">Accept. Engage Ashley or Bhavina for technical QA/QC pass on all 31 project profiles before this site is shared with clients. Especially important for the 4 mcw.com-only confirmed projects (Kanata, GO Whitby, GO Streetsville, Ajax GO).</t>
  </si>
  <si>
    <t xml:space="preserve">Adele to engage Ashley/Bhavina</t>
  </si>
  <si>
    <t xml:space="preserve">Pre-share gate</t>
  </si>
  <si>
    <t xml:space="preserve">BC Team</t>
  </si>
  <si>
    <t xml:space="preserve">Graham IPD experience</t>
  </si>
  <si>
    <t xml:space="preserve">Graham's [bio] doesn't reference his IPD experience.</t>
  </si>
  <si>
    <t xml:space="preserve">Done. Added to Graham's bio: 'IPD experience includes the Township of Langley Fire Hall No. 5 and Training Centre, and the Kamloops Centre for the Arts — leading electrical scope within integrated project teams.' (Both projects are featured on the Experience page.)</t>
  </si>
  <si>
    <t xml:space="preserve">Michael IPD experience</t>
  </si>
  <si>
    <t xml:space="preserve">[Michael's bio doesn't reference his IPD experience], same for Michael.</t>
  </si>
  <si>
    <t xml:space="preserve">Accept. Update Michael Driedger's bc-team.html bio to call out IPD experience including sustainability scope on collaborative-delivery projects.</t>
  </si>
  <si>
    <t xml:space="preserve">Need IPD project list from Michael</t>
  </si>
  <si>
    <t xml:space="preserve">Associates → PM umbrella</t>
  </si>
  <si>
    <t xml:space="preserve">Associates — not sure why we're including them as Associates instead of using a PM umbrella so we can show Kaan as well and his KCA stuff.</t>
  </si>
  <si>
    <t xml:space="preserve">Done. Added new 'Project Managers and engineering staff' section under the existing Associates section. 15 new cards populated (Sean Farrell, Lucy Kryachok, Hussam Iskander, Blake Steptoe, Evan Lok, Jonathan Lau, Kaan Ertan, Scott MacLaren, Huy Nguyen, Rick Arikado, Alan Jones, Benjamin Ellah, Laura Muñoz, Lloyd Yodogawa, Steve Nixon) with bios extracted from the Master Resume List and face-aware-cropped headshots. Kaan's bio references the Kamloops Centre for the Arts project.</t>
  </si>
  <si>
    <t xml:space="preserve">Missing Josh Tanner</t>
  </si>
  <si>
    <t xml:space="preserve">Also missing Josh Tanner.</t>
  </si>
  <si>
    <t xml:space="preserve">Done. Added Josh Tanner as third Associate (Associate — Electrical, P.Eng. BC, B.Eng. UVic). Bio reflects 9 years prior experience + electrical engineering, lighting design and controls, power distribution, PV, EV specialties.</t>
  </si>
  <si>
    <t xml:space="preserve">Vancouver staff count</t>
  </si>
  <si>
    <t xml:space="preserve">Staff count — you list 28 for Van but I think it's 64.</t>
  </si>
  <si>
    <t xml:space="preserve">Done. Found '28 staff' on bc-team.html National Bench section; corrected to '64 staff'.</t>
  </si>
  <si>
    <t xml:space="preserve">2 Associates → 3</t>
  </si>
  <si>
    <t xml:space="preserve">2 Associates — should be 3 (Josh).</t>
  </si>
  <si>
    <t xml:space="preserve">Done. Associates section now shows 3 cards: Melissa Smith, Matt Clayton, Josh Tanner.</t>
  </si>
  <si>
    <t xml:space="preserve">AB Team</t>
  </si>
  <si>
    <t xml:space="preserve">James — Status confirmation</t>
  </si>
  <si>
    <t xml:space="preserve">James — he needs to confirm he's OK with his Status being published there.</t>
  </si>
  <si>
    <t xml:space="preserve">Done. Removed 'Cowichan Tribes' from credentials line (now 'MBA · CET · CEM · LEED AP · Calgary') and removed the 'He is a status indigenous person of the Cowichan Tribes' sentence from his bio. James can request reinstatement once he gives explicit consent.</t>
  </si>
  <si>
    <t xml:space="preserve">Sean P3 healthcare</t>
  </si>
  <si>
    <t xml:space="preserve">Sean — P3 experience could be called out for healthcare.</t>
  </si>
  <si>
    <t xml:space="preserve">Accept. Add to Sean Piper's bio: specific reference to his P3 healthcare experience.</t>
  </si>
  <si>
    <t xml:space="preserve">Need P3 healthcare project list from Sean</t>
  </si>
  <si>
    <t xml:space="preserve">Gus is a Principal</t>
  </si>
  <si>
    <t xml:space="preserve">Gus is a Principal.</t>
  </si>
  <si>
    <t xml:space="preserve">Done. Updated title from 'Senior Electrical / ICAT Lead' to 'Principal — Electrical / ICAT' — keeps ICAT specialty visible while reflecting Principal status. Bio also updated to lead with 'A Principal at MCW...'</t>
  </si>
  <si>
    <t xml:space="preserve">Missing Calgary Principals</t>
  </si>
  <si>
    <t xml:space="preserve">Missing Shilpa, Kevin, &amp; Simon as Principals (if you were following BC format).</t>
  </si>
  <si>
    <t xml:space="preserve">Accept. Add Shilpa, Kevin, and Simon as Principals on the Calgary section of ab-team.html. Need bios + headshots for each.</t>
  </si>
  <si>
    <t xml:space="preserve">Adele to source content</t>
  </si>
  <si>
    <t xml:space="preserve">Need 3 bios + 3 headshots</t>
  </si>
  <si>
    <t xml:space="preserve">Todd LEED US/Can</t>
  </si>
  <si>
    <t xml:space="preserve">Todd — does LEED US/Can really matter?</t>
  </si>
  <si>
    <t xml:space="preserve">Done. Simplified to 'P.Eng. · LEED AP · Edmonton' on the AB Team card; bio updated to 'A LEED Accredited Professional' (was 'in both Canada and the US'). Contact page already said 'LEED AP' — no change there. If Todd wants the US designation reinstated, easy to revert.</t>
  </si>
  <si>
    <t xml:space="preserve">Missing Edmonton associates</t>
  </si>
  <si>
    <t xml:space="preserve">Paul Truong, Calvin Vander Leest are electrical associates [missing].</t>
  </si>
  <si>
    <t xml:space="preserve">Accept. Add Paul Truong and Calvin Vander Leest to Edmonton section as Electrical Associates. Need bios + headshots.</t>
  </si>
  <si>
    <t xml:space="preserve">Need 2 bios + 2 headshots</t>
  </si>
  <si>
    <t xml:space="preserve">Contact</t>
  </si>
  <si>
    <t xml:space="preserve">'What we will need' layout</t>
  </si>
  <si>
    <t xml:space="preserve">What we will need — change to short note on items on the right instead of below.</t>
  </si>
  <si>
    <t xml:space="preserve">Done. Tightened the right-column callout from two long callouts into one compact callout — 'Tell us' bullet list + inline 'You'll hear back' cadence. Heading simplified to 'To confirm fit, send us a short note.'</t>
  </si>
  <si>
    <t xml:space="preserve">Map replacement</t>
  </si>
  <si>
    <t xml:space="preserve">Map — we have a better one I'll send separately.</t>
  </si>
  <si>
    <t xml:space="preserve">Done. Adele's new map (Map/Map.jpg, 863x760 — Canada outline with green pins already placed at all MCW office cities) installed as assets/canada-map.jpg. Replaced the previous SVG+overlay-dots structure with a single clean img element. Map legend kept beneath. CSS unchanged (canada-map container already styles correctly).</t>
  </si>
  <si>
    <t xml:space="preserve">Office order — Van first</t>
  </si>
  <si>
    <t xml:space="preserve">Location order — doesn't make sense to lead with TO when this is for BC opps — suggest putting Van first.</t>
  </si>
  <si>
    <t xml:space="preserve">Done. Reordered footer cities list across all 38 pages from 'Toronto • Vancouver • Calgary • Edmonton • Winnipeg • Ottawa • Saint John • Moncton • Halifax' to 'Vancouver • Edmonton • Calgary • Toronto • Winnipeg • Ottawa • Saint John • Moncton • Halifax' — VEC offices first, then national.</t>
  </si>
  <si>
    <t xml:space="preserve">Calgary healthcare callout</t>
  </si>
  <si>
    <t xml:space="preserve">Calgary — add healthcare alternative delivery to cover more sectors.</t>
  </si>
  <si>
    <t xml:space="preserve">Done. Added 'Calgary office sectors' callout under the partner contacts on the Calgary card: 'Healthcare alternative delivery, energy management and decarbonisation, education and post-secondary, commercial, retail, recreation, government, and First Nation projects.'</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</si>
</sst>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333333"/>
      <name val="Arial"/>
      <family val="0"/>
      <charset val="1"/>
    </font>
    <font>
      <b val="true"/>
      <sz val="12"/>
      <color rgb="FFFFFFFF"/>
      <name val="Arial"/>
      <family val="0"/>
      <charset val="1"/>
    </font>
    <font>
      <sz val="10"/>
      <name val="Arial"/>
      <family val="0"/>
      <charset val="1"/>
    </font>
    <font>
      <b val="true"/>
      <sz val="10"/>
      <name val="Arial"/>
      <family val="0"/>
      <charset val="1"/>
    </font>
    <font>
      <b val="true"/>
      <sz val="10"/>
      <color rgb="FFFFFFFF"/>
      <name val="Arial"/>
      <family val="0"/>
      <charset val="1"/>
    </font>
    <font>
      <b val="true"/>
      <sz val="10"/>
      <color rgb="FF996600"/>
      <name val="Arial"/>
      <family val="0"/>
      <charset val="1"/>
    </font>
    <font>
      <sz val="10"/>
      <color rgb="FF333333"/>
      <name val="Arial"/>
      <family val="0"/>
      <charset val="1"/>
    </font>
    <font>
      <b val="true"/>
      <sz val="10"/>
      <color rgb="FF00723A"/>
      <name val="Arial"/>
      <family val="0"/>
      <charset val="1"/>
    </font>
    <font>
      <b val="true"/>
      <sz val="10"/>
      <color rgb="FFB30000"/>
      <name val="Arial"/>
      <family val="0"/>
      <charset val="1"/>
    </font>
  </fonts>
  <fills count="9">
    <fill>
      <patternFill patternType="none"/>
    </fill>
    <fill>
      <patternFill patternType="gray125"/>
    </fill>
    <fill>
      <patternFill patternType="solid">
        <fgColor rgb="FF00863F"/>
        <bgColor rgb="FF00723A"/>
      </patternFill>
    </fill>
    <fill>
      <patternFill patternType="solid">
        <fgColor rgb="FF00723A"/>
        <bgColor rgb="FF00863F"/>
      </patternFill>
    </fill>
    <fill>
      <patternFill patternType="solid">
        <fgColor rgb="FFF2F2F2"/>
        <bgColor rgb="FFE8F5EE"/>
      </patternFill>
    </fill>
    <fill>
      <patternFill patternType="solid">
        <fgColor rgb="FF996600"/>
        <bgColor rgb="FF993300"/>
      </patternFill>
    </fill>
    <fill>
      <patternFill patternType="solid">
        <fgColor rgb="FFFFF4CC"/>
        <bgColor rgb="FFFCE7E7"/>
      </patternFill>
    </fill>
    <fill>
      <patternFill patternType="solid">
        <fgColor rgb="FFE8F5EE"/>
        <bgColor rgb="FFF2F2F2"/>
      </patternFill>
    </fill>
    <fill>
      <patternFill patternType="solid">
        <fgColor rgb="FFFCE7E7"/>
        <bgColor rgb="FFF2F2F2"/>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left" vertical="bottom" textRotation="0" wrapText="false" indent="1"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1" shrinkToFit="false"/>
      <protection locked="true" hidden="false"/>
    </xf>
    <xf numFmtId="164" fontId="6" fillId="5" borderId="0" xfId="0" applyFont="true" applyBorder="true" applyAlignment="false" applyProtection="false">
      <alignment horizontal="general" vertical="bottom" textRotation="0" wrapText="false" indent="0" shrinkToFit="false"/>
      <protection locked="true" hidden="false"/>
    </xf>
    <xf numFmtId="164" fontId="8" fillId="6" borderId="0" xfId="0" applyFont="true" applyBorder="true" applyAlignment="true" applyProtection="false">
      <alignment horizontal="left" vertical="top" textRotation="0" wrapText="tru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left" vertical="bottom" textRotation="0" wrapText="false" indent="1"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9" fillId="3"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12" fillId="7" borderId="1" xfId="0" applyFont="true" applyBorder="true" applyAlignment="true" applyProtection="false">
      <alignment horizontal="center" vertical="top" textRotation="0" wrapText="true" indent="0" shrinkToFit="false"/>
      <protection locked="true" hidden="false"/>
    </xf>
    <xf numFmtId="164" fontId="13" fillId="8"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00723A"/>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FCE7E7"/>
          <bgColor rgb="FF000000"/>
        </patternFill>
      </fill>
    </dxf>
    <dxf>
      <fill>
        <patternFill patternType="solid">
          <fgColor rgb="FFFFF4CC"/>
          <bgColor rgb="FF000000"/>
        </patternFill>
      </fill>
    </dxf>
    <dxf>
      <fill>
        <patternFill patternType="solid">
          <fgColor rgb="FF333333"/>
          <bgColor rgb="FF000000"/>
        </patternFill>
      </fill>
    </dxf>
    <dxf>
      <fill>
        <patternFill patternType="solid">
          <fgColor rgb="FF996600"/>
          <bgColor rgb="FF000000"/>
        </patternFill>
      </fill>
    </dxf>
    <dxf>
      <fill>
        <patternFill patternType="solid">
          <fgColor rgb="FFB30000"/>
          <bgColor rgb="FF000000"/>
        </patternFill>
      </fill>
    </dxf>
    <dxf>
      <fill>
        <patternFill patternType="solid">
          <fgColor rgb="FFE8F5EE"/>
          <bgColor rgb="FF000000"/>
        </patternFill>
      </fill>
    </dxf>
  </dxfs>
  <colors>
    <indexedColors>
      <rgbColor rgb="FF000000"/>
      <rgbColor rgb="FFFFFFFF"/>
      <rgbColor rgb="FFFF0000"/>
      <rgbColor rgb="FF00FF00"/>
      <rgbColor rgb="FF0000FF"/>
      <rgbColor rgb="FFFFFF00"/>
      <rgbColor rgb="FFFF00FF"/>
      <rgbColor rgb="FF00FFFF"/>
      <rgbColor rgb="FFB30000"/>
      <rgbColor rgb="FF00863F"/>
      <rgbColor rgb="FF000080"/>
      <rgbColor rgb="FF996600"/>
      <rgbColor rgb="FF800080"/>
      <rgbColor rgb="FF00723A"/>
      <rgbColor rgb="FFCCCCCC"/>
      <rgbColor rgb="FF808080"/>
      <rgbColor rgb="FF9999FF"/>
      <rgbColor rgb="FF993366"/>
      <rgbColor rgb="FFFFF4CC"/>
      <rgbColor rgb="FFE8F5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CE7E7"/>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8"/>
    <col collapsed="false" customWidth="true" hidden="false" outlineLevel="0" max="2" min="2" style="0" width="12"/>
    <col collapsed="false" customWidth="true" hidden="false" outlineLevel="0" max="3" min="3" style="0" width="50"/>
    <col collapsed="false" customWidth="true" hidden="false" outlineLevel="0" max="6" min="4" style="0" width="12"/>
  </cols>
  <sheetData>
    <row r="1" customFormat="false" ht="31.5" hidden="false" customHeight="tru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15" hidden="false" customHeight="false" outlineLevel="0" collapsed="false">
      <c r="A4" s="3" t="s">
        <v>2</v>
      </c>
      <c r="B4" s="3"/>
      <c r="C4" s="3"/>
    </row>
    <row r="5" customFormat="false" ht="15" hidden="false" customHeight="false" outlineLevel="0" collapsed="false">
      <c r="A5" s="4" t="s">
        <v>3</v>
      </c>
      <c r="B5" s="5" t="s">
        <v>4</v>
      </c>
    </row>
    <row r="6" customFormat="false" ht="15" hidden="false" customHeight="false" outlineLevel="0" collapsed="false">
      <c r="A6" s="4" t="s">
        <v>5</v>
      </c>
      <c r="B6" s="5" t="n">
        <f aca="false">COUNTIF('Comments Tracker'!J5:J34,"Updated")</f>
        <v>22</v>
      </c>
    </row>
    <row r="7" customFormat="false" ht="15" hidden="false" customHeight="false" outlineLevel="0" collapsed="false">
      <c r="A7" s="4" t="s">
        <v>6</v>
      </c>
      <c r="B7" s="5" t="n">
        <f aca="false">COUNTIF('Comments Tracker'!J5:J34,"Partial")</f>
        <v>1</v>
      </c>
    </row>
    <row r="8" customFormat="false" ht="15" hidden="false" customHeight="false" outlineLevel="0" collapsed="false">
      <c r="A8" s="4" t="s">
        <v>7</v>
      </c>
      <c r="B8" s="5" t="n">
        <f aca="false">COUNTIF('Comments Tracker'!J5:J34,"Confirmed")</f>
        <v>1</v>
      </c>
    </row>
    <row r="9" customFormat="false" ht="15" hidden="false" customHeight="false" outlineLevel="0" collapsed="false">
      <c r="A9" s="4" t="s">
        <v>8</v>
      </c>
      <c r="B9" s="5" t="n">
        <f aca="false">COUNTIF('Comments Tracker'!J5:J34,"Pending")</f>
        <v>6</v>
      </c>
    </row>
    <row r="11" customFormat="false" ht="15" hidden="false" customHeight="false" outlineLevel="0" collapsed="false">
      <c r="A11" s="3" t="s">
        <v>9</v>
      </c>
      <c r="B11" s="3"/>
      <c r="C11" s="3"/>
      <c r="D11" s="3"/>
      <c r="E11" s="3"/>
      <c r="F11" s="3"/>
    </row>
    <row r="12" customFormat="false" ht="21.75" hidden="false" customHeight="true" outlineLevel="0" collapsed="false">
      <c r="A12" s="6" t="s">
        <v>10</v>
      </c>
      <c r="B12" s="6"/>
      <c r="C12" s="6"/>
      <c r="D12" s="6"/>
      <c r="E12" s="6"/>
      <c r="F12" s="6"/>
    </row>
    <row r="13" customFormat="false" ht="21.75" hidden="false" customHeight="true" outlineLevel="0" collapsed="false">
      <c r="A13" s="6" t="s">
        <v>11</v>
      </c>
      <c r="B13" s="6"/>
      <c r="C13" s="6"/>
      <c r="D13" s="6"/>
      <c r="E13" s="6"/>
      <c r="F13" s="6"/>
    </row>
    <row r="14" customFormat="false" ht="21.75" hidden="false" customHeight="true" outlineLevel="0" collapsed="false">
      <c r="A14" s="6" t="s">
        <v>12</v>
      </c>
      <c r="B14" s="6"/>
      <c r="C14" s="6"/>
      <c r="D14" s="6"/>
      <c r="E14" s="6"/>
      <c r="F14" s="6"/>
    </row>
    <row r="15" customFormat="false" ht="21.75" hidden="false" customHeight="true" outlineLevel="0" collapsed="false">
      <c r="A15" s="6" t="s">
        <v>13</v>
      </c>
      <c r="B15" s="6"/>
      <c r="C15" s="6"/>
      <c r="D15" s="6"/>
      <c r="E15" s="6"/>
      <c r="F15" s="6"/>
    </row>
    <row r="16" customFormat="false" ht="21.75" hidden="false" customHeight="true" outlineLevel="0" collapsed="false">
      <c r="A16" s="6" t="s">
        <v>14</v>
      </c>
      <c r="B16" s="6"/>
      <c r="C16" s="6"/>
      <c r="D16" s="6"/>
      <c r="E16" s="6"/>
      <c r="F16" s="6"/>
    </row>
    <row r="17" customFormat="false" ht="21.75" hidden="false" customHeight="true" outlineLevel="0" collapsed="false">
      <c r="A17" s="6" t="s">
        <v>15</v>
      </c>
      <c r="B17" s="6"/>
      <c r="C17" s="6"/>
      <c r="D17" s="6"/>
      <c r="E17" s="6"/>
      <c r="F17" s="6"/>
    </row>
    <row r="18" customFormat="false" ht="21.75" hidden="false" customHeight="true" outlineLevel="0" collapsed="false">
      <c r="A18" s="6" t="s">
        <v>16</v>
      </c>
      <c r="B18" s="6"/>
      <c r="C18" s="6"/>
      <c r="D18" s="6"/>
      <c r="E18" s="6"/>
      <c r="F18" s="6"/>
    </row>
    <row r="19" customFormat="false" ht="21.75" hidden="false" customHeight="true" outlineLevel="0" collapsed="false">
      <c r="A19" s="6" t="s">
        <v>17</v>
      </c>
      <c r="B19" s="6"/>
      <c r="C19" s="6"/>
      <c r="D19" s="6"/>
      <c r="E19" s="6"/>
      <c r="F19" s="6"/>
    </row>
    <row r="20" customFormat="false" ht="21.75" hidden="false" customHeight="true" outlineLevel="0" collapsed="false">
      <c r="A20" s="6" t="s">
        <v>18</v>
      </c>
      <c r="B20" s="6"/>
      <c r="C20" s="6"/>
      <c r="D20" s="6"/>
      <c r="E20" s="6"/>
      <c r="F20" s="6"/>
    </row>
    <row r="21" customFormat="false" ht="21.75" hidden="false" customHeight="true" outlineLevel="0" collapsed="false">
      <c r="A21" s="6" t="s">
        <v>19</v>
      </c>
      <c r="B21" s="6"/>
      <c r="C21" s="6"/>
      <c r="D21" s="6"/>
      <c r="E21" s="6"/>
      <c r="F21" s="6"/>
    </row>
    <row r="22" customFormat="false" ht="21.75" hidden="false" customHeight="true" outlineLevel="0" collapsed="false">
      <c r="A22" s="6" t="s">
        <v>20</v>
      </c>
      <c r="B22" s="6"/>
      <c r="C22" s="6"/>
      <c r="D22" s="6"/>
      <c r="E22" s="6"/>
      <c r="F22" s="6"/>
    </row>
    <row r="23" customFormat="false" ht="21.75" hidden="false" customHeight="true" outlineLevel="0" collapsed="false">
      <c r="A23" s="6" t="s">
        <v>21</v>
      </c>
      <c r="B23" s="6"/>
      <c r="C23" s="6"/>
      <c r="D23" s="6"/>
      <c r="E23" s="6"/>
      <c r="F23" s="6"/>
    </row>
    <row r="24" customFormat="false" ht="21.75" hidden="false" customHeight="true" outlineLevel="0" collapsed="false">
      <c r="A24" s="6" t="s">
        <v>22</v>
      </c>
      <c r="B24" s="6"/>
      <c r="C24" s="6"/>
      <c r="D24" s="6"/>
      <c r="E24" s="6"/>
      <c r="F24" s="6"/>
    </row>
    <row r="25" customFormat="false" ht="21.75" hidden="false" customHeight="true" outlineLevel="0" collapsed="false">
      <c r="A25" s="6" t="s">
        <v>23</v>
      </c>
      <c r="B25" s="6"/>
      <c r="C25" s="6"/>
      <c r="D25" s="6"/>
      <c r="E25" s="6"/>
      <c r="F25" s="6"/>
    </row>
    <row r="26" customFormat="false" ht="21.75" hidden="false" customHeight="true" outlineLevel="0" collapsed="false">
      <c r="A26" s="6" t="s">
        <v>24</v>
      </c>
      <c r="B26" s="6"/>
      <c r="C26" s="6"/>
      <c r="D26" s="6"/>
      <c r="E26" s="6"/>
      <c r="F26" s="6"/>
    </row>
    <row r="27" customFormat="false" ht="21.75" hidden="false" customHeight="true" outlineLevel="0" collapsed="false">
      <c r="A27" s="6" t="s">
        <v>25</v>
      </c>
      <c r="B27" s="6"/>
      <c r="C27" s="6"/>
      <c r="D27" s="6"/>
      <c r="E27" s="6"/>
      <c r="F27" s="6"/>
    </row>
    <row r="28" customFormat="false" ht="21.75" hidden="false" customHeight="true" outlineLevel="0" collapsed="false">
      <c r="A28" s="6" t="s">
        <v>26</v>
      </c>
      <c r="B28" s="6"/>
      <c r="C28" s="6"/>
      <c r="D28" s="6"/>
      <c r="E28" s="6"/>
      <c r="F28" s="6"/>
    </row>
    <row r="29" customFormat="false" ht="21.75" hidden="false" customHeight="true" outlineLevel="0" collapsed="false">
      <c r="A29" s="6" t="s">
        <v>27</v>
      </c>
      <c r="B29" s="6"/>
      <c r="C29" s="6"/>
      <c r="D29" s="6"/>
      <c r="E29" s="6"/>
      <c r="F29" s="6"/>
    </row>
    <row r="30" customFormat="false" ht="21.75" hidden="false" customHeight="true" outlineLevel="0" collapsed="false">
      <c r="A30" s="6" t="s">
        <v>28</v>
      </c>
      <c r="B30" s="6"/>
      <c r="C30" s="6"/>
      <c r="D30" s="6"/>
      <c r="E30" s="6"/>
      <c r="F30" s="6"/>
    </row>
    <row r="31" customFormat="false" ht="21.75" hidden="false" customHeight="true" outlineLevel="0" collapsed="false">
      <c r="A31" s="6" t="s">
        <v>29</v>
      </c>
      <c r="B31" s="6"/>
      <c r="C31" s="6"/>
      <c r="D31" s="6"/>
      <c r="E31" s="6"/>
      <c r="F31" s="6"/>
    </row>
    <row r="32" customFormat="false" ht="21.75" hidden="false" customHeight="true" outlineLevel="0" collapsed="false">
      <c r="A32" s="6" t="s">
        <v>30</v>
      </c>
      <c r="B32" s="6"/>
      <c r="C32" s="6"/>
      <c r="D32" s="6"/>
      <c r="E32" s="6"/>
      <c r="F32" s="6"/>
    </row>
    <row r="33" customFormat="false" ht="21.75" hidden="false" customHeight="true" outlineLevel="0" collapsed="false">
      <c r="A33" s="6" t="s">
        <v>31</v>
      </c>
      <c r="B33" s="6"/>
      <c r="C33" s="6"/>
      <c r="D33" s="6"/>
      <c r="E33" s="6"/>
      <c r="F33" s="6"/>
    </row>
    <row r="34" customFormat="false" ht="21.75" hidden="false" customHeight="true" outlineLevel="0" collapsed="false">
      <c r="A34" s="6" t="s">
        <v>32</v>
      </c>
      <c r="B34" s="6"/>
      <c r="C34" s="6"/>
      <c r="D34" s="6"/>
      <c r="E34" s="6"/>
      <c r="F34" s="6"/>
    </row>
    <row r="36" customFormat="false" ht="15" hidden="false" customHeight="false" outlineLevel="0" collapsed="false">
      <c r="A36" s="7" t="s">
        <v>33</v>
      </c>
      <c r="B36" s="7"/>
      <c r="C36" s="7"/>
      <c r="D36" s="7"/>
      <c r="E36" s="7"/>
      <c r="F36" s="7"/>
    </row>
    <row r="37" customFormat="false" ht="27.75" hidden="false" customHeight="true" outlineLevel="0" collapsed="false">
      <c r="A37" s="8" t="s">
        <v>34</v>
      </c>
      <c r="B37" s="8"/>
      <c r="C37" s="6" t="s">
        <v>35</v>
      </c>
      <c r="D37" s="6"/>
      <c r="E37" s="6"/>
      <c r="F37" s="6"/>
    </row>
    <row r="38" customFormat="false" ht="27.75" hidden="false" customHeight="true" outlineLevel="0" collapsed="false">
      <c r="A38" s="8" t="s">
        <v>36</v>
      </c>
      <c r="B38" s="8"/>
      <c r="C38" s="6" t="s">
        <v>37</v>
      </c>
      <c r="D38" s="6"/>
      <c r="E38" s="6"/>
      <c r="F38" s="6"/>
    </row>
    <row r="39" customFormat="false" ht="27.75" hidden="false" customHeight="true" outlineLevel="0" collapsed="false">
      <c r="A39" s="8" t="s">
        <v>38</v>
      </c>
      <c r="B39" s="8"/>
      <c r="C39" s="6" t="s">
        <v>39</v>
      </c>
      <c r="D39" s="6"/>
      <c r="E39" s="6"/>
      <c r="F39" s="6"/>
    </row>
    <row r="40" customFormat="false" ht="27.75" hidden="false" customHeight="true" outlineLevel="0" collapsed="false">
      <c r="A40" s="8" t="s">
        <v>40</v>
      </c>
      <c r="B40" s="8"/>
      <c r="C40" s="6" t="s">
        <v>39</v>
      </c>
      <c r="D40" s="6"/>
      <c r="E40" s="6"/>
      <c r="F40" s="6"/>
    </row>
    <row r="41" customFormat="false" ht="27.75" hidden="false" customHeight="true" outlineLevel="0" collapsed="false">
      <c r="A41" s="8" t="s">
        <v>41</v>
      </c>
      <c r="B41" s="8"/>
      <c r="C41" s="6" t="s">
        <v>42</v>
      </c>
      <c r="D41" s="6"/>
      <c r="E41" s="6"/>
      <c r="F41" s="6"/>
    </row>
    <row r="42" customFormat="false" ht="27.75" hidden="false" customHeight="true" outlineLevel="0" collapsed="false">
      <c r="A42" s="8" t="s">
        <v>43</v>
      </c>
      <c r="B42" s="8"/>
      <c r="C42" s="6" t="s">
        <v>44</v>
      </c>
      <c r="D42" s="6"/>
      <c r="E42" s="6"/>
      <c r="F42" s="6"/>
    </row>
    <row r="43" customFormat="false" ht="27.75" hidden="false" customHeight="true" outlineLevel="0" collapsed="false">
      <c r="A43" s="8" t="s">
        <v>45</v>
      </c>
      <c r="B43" s="8"/>
      <c r="C43" s="6" t="s">
        <v>46</v>
      </c>
      <c r="D43" s="6"/>
      <c r="E43" s="6"/>
      <c r="F43" s="6"/>
    </row>
    <row r="44" customFormat="false" ht="27.75" hidden="false" customHeight="true" outlineLevel="0" collapsed="false">
      <c r="A44" s="8" t="s">
        <v>47</v>
      </c>
      <c r="B44" s="8"/>
      <c r="C44" s="6" t="s">
        <v>48</v>
      </c>
      <c r="D44" s="6"/>
      <c r="E44" s="6"/>
      <c r="F44" s="6"/>
    </row>
    <row r="47" customFormat="false" ht="15" hidden="false" customHeight="false" outlineLevel="0" collapsed="false">
      <c r="A47" s="9" t="s">
        <v>49</v>
      </c>
      <c r="B47" s="9"/>
      <c r="C47" s="9"/>
      <c r="D47" s="9"/>
      <c r="E47" s="9"/>
      <c r="F47" s="9"/>
    </row>
  </sheetData>
  <mergeCells count="45">
    <mergeCell ref="A1:F1"/>
    <mergeCell ref="A2:F2"/>
    <mergeCell ref="A4:C4"/>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6:F36"/>
    <mergeCell ref="A37:B37"/>
    <mergeCell ref="C37:F37"/>
    <mergeCell ref="A38:B38"/>
    <mergeCell ref="C38:F38"/>
    <mergeCell ref="A39:B39"/>
    <mergeCell ref="C39:F39"/>
    <mergeCell ref="A40:B40"/>
    <mergeCell ref="C40:F40"/>
    <mergeCell ref="A41:B41"/>
    <mergeCell ref="C41:F41"/>
    <mergeCell ref="A42:B42"/>
    <mergeCell ref="C42:F42"/>
    <mergeCell ref="A43:B43"/>
    <mergeCell ref="C43:F43"/>
    <mergeCell ref="A44:B44"/>
    <mergeCell ref="C44:F44"/>
    <mergeCell ref="A47:F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14"/>
    <col collapsed="false" customWidth="true" hidden="false" outlineLevel="0" max="4" min="4" style="0" width="16"/>
    <col collapsed="false" customWidth="true" hidden="false" outlineLevel="0" max="5" min="5" style="0" width="18"/>
    <col collapsed="false" customWidth="true" hidden="false" outlineLevel="0" max="7" min="6" style="0" width="60"/>
    <col collapsed="false" customWidth="true" hidden="false" outlineLevel="0" max="8" min="8" style="0" width="14"/>
    <col collapsed="false" customWidth="true" hidden="false" outlineLevel="0" max="9" min="9" style="0" width="10"/>
    <col collapsed="false" customWidth="true" hidden="false" outlineLevel="0" max="10" min="10" style="0" width="16"/>
    <col collapsed="false" customWidth="true" hidden="false" outlineLevel="0" max="11" min="11" style="0" width="12"/>
    <col collapsed="false" customWidth="true" hidden="false" outlineLevel="0" max="12" min="12" style="0" width="35"/>
    <col collapsed="false" customWidth="true" hidden="false" outlineLevel="0" max="14" min="14" style="0" width="18"/>
    <col collapsed="false" customWidth="true" hidden="false" outlineLevel="0" max="15" min="15" style="0" width="10"/>
  </cols>
  <sheetData>
    <row r="1" customFormat="false" ht="31.5" hidden="false" customHeight="true" outlineLevel="0" collapsed="false">
      <c r="A1" s="1" t="s">
        <v>50</v>
      </c>
      <c r="B1" s="1"/>
      <c r="C1" s="1"/>
      <c r="D1" s="1"/>
      <c r="E1" s="1"/>
      <c r="F1" s="1"/>
      <c r="G1" s="1"/>
      <c r="H1" s="1"/>
      <c r="I1" s="1"/>
      <c r="J1" s="1"/>
      <c r="K1" s="1"/>
      <c r="L1" s="1"/>
      <c r="N1" s="10" t="s">
        <v>51</v>
      </c>
      <c r="O1" s="10"/>
    </row>
    <row r="2" customFormat="false" ht="18" hidden="false" customHeight="true" outlineLevel="0" collapsed="false">
      <c r="A2" s="2" t="s">
        <v>52</v>
      </c>
      <c r="B2" s="2"/>
      <c r="C2" s="2"/>
      <c r="D2" s="2"/>
      <c r="E2" s="2"/>
      <c r="F2" s="2"/>
      <c r="G2" s="2"/>
      <c r="H2" s="2"/>
      <c r="I2" s="2"/>
      <c r="J2" s="2"/>
      <c r="K2" s="2"/>
      <c r="L2" s="2"/>
      <c r="N2" s="11" t="s">
        <v>53</v>
      </c>
      <c r="O2" s="12" t="n">
        <f aca="false">COUNTA(A5:A34)</f>
        <v>30</v>
      </c>
    </row>
    <row r="3" customFormat="false" ht="15" hidden="false" customHeight="false" outlineLevel="0" collapsed="false">
      <c r="N3" s="11" t="s">
        <v>54</v>
      </c>
      <c r="O3" s="12" t="n">
        <f aca="false">COUNTIF(I5:I34,"High")</f>
        <v>10</v>
      </c>
    </row>
    <row r="4" customFormat="false" ht="31.5" hidden="false" customHeight="true" outlineLevel="0" collapsed="false">
      <c r="A4" s="13" t="s">
        <v>55</v>
      </c>
      <c r="B4" s="13" t="s">
        <v>56</v>
      </c>
      <c r="C4" s="13" t="s">
        <v>57</v>
      </c>
      <c r="D4" s="13" t="s">
        <v>58</v>
      </c>
      <c r="E4" s="13" t="s">
        <v>59</v>
      </c>
      <c r="F4" s="13" t="s">
        <v>60</v>
      </c>
      <c r="G4" s="13" t="s">
        <v>61</v>
      </c>
      <c r="H4" s="13" t="s">
        <v>62</v>
      </c>
      <c r="I4" s="13" t="s">
        <v>63</v>
      </c>
      <c r="J4" s="13" t="s">
        <v>64</v>
      </c>
      <c r="K4" s="13" t="s">
        <v>65</v>
      </c>
      <c r="L4" s="13" t="s">
        <v>66</v>
      </c>
      <c r="N4" s="11" t="s">
        <v>67</v>
      </c>
      <c r="O4" s="12" t="n">
        <f aca="false">COUNTIF(I5:I34,"Med")</f>
        <v>17</v>
      </c>
    </row>
    <row r="5" customFormat="false" ht="69.75" hidden="false" customHeight="true" outlineLevel="0" collapsed="false">
      <c r="A5" s="14" t="n">
        <v>1</v>
      </c>
      <c r="B5" s="14" t="s">
        <v>68</v>
      </c>
      <c r="C5" s="14" t="s">
        <v>69</v>
      </c>
      <c r="D5" s="14" t="s">
        <v>70</v>
      </c>
      <c r="E5" s="14" t="s">
        <v>71</v>
      </c>
      <c r="F5" s="14" t="s">
        <v>72</v>
      </c>
      <c r="G5" s="14" t="s">
        <v>73</v>
      </c>
      <c r="H5" s="14" t="s">
        <v>74</v>
      </c>
      <c r="I5" s="15" t="s">
        <v>75</v>
      </c>
      <c r="J5" s="15" t="s">
        <v>76</v>
      </c>
      <c r="K5" s="14"/>
      <c r="L5" s="14"/>
      <c r="N5" s="11" t="s">
        <v>77</v>
      </c>
      <c r="O5" s="12" t="n">
        <f aca="false">COUNTIF(I5:I34,"Low")</f>
        <v>3</v>
      </c>
    </row>
    <row r="6" customFormat="false" ht="42" hidden="false" customHeight="true" outlineLevel="0" collapsed="false">
      <c r="A6" s="16" t="n">
        <v>2</v>
      </c>
      <c r="B6" s="16" t="s">
        <v>68</v>
      </c>
      <c r="C6" s="16" t="s">
        <v>69</v>
      </c>
      <c r="D6" s="16" t="s">
        <v>70</v>
      </c>
      <c r="E6" s="16" t="s">
        <v>78</v>
      </c>
      <c r="F6" s="16" t="s">
        <v>79</v>
      </c>
      <c r="G6" s="16" t="s">
        <v>80</v>
      </c>
      <c r="H6" s="16" t="s">
        <v>74</v>
      </c>
      <c r="I6" s="17" t="s">
        <v>81</v>
      </c>
      <c r="J6" s="18" t="s">
        <v>82</v>
      </c>
      <c r="K6" s="16"/>
      <c r="L6" s="16"/>
      <c r="N6" s="11" t="s">
        <v>76</v>
      </c>
      <c r="O6" s="12" t="n">
        <f aca="false">COUNTIF(J5:J34,"Pending")</f>
        <v>6</v>
      </c>
    </row>
    <row r="7" customFormat="false" ht="39.75" hidden="false" customHeight="true" outlineLevel="0" collapsed="false">
      <c r="A7" s="14" t="n">
        <v>3</v>
      </c>
      <c r="B7" s="14" t="s">
        <v>68</v>
      </c>
      <c r="C7" s="14" t="s">
        <v>69</v>
      </c>
      <c r="D7" s="14" t="s">
        <v>83</v>
      </c>
      <c r="E7" s="14" t="s">
        <v>84</v>
      </c>
      <c r="F7" s="14" t="s">
        <v>85</v>
      </c>
      <c r="G7" s="14" t="s">
        <v>86</v>
      </c>
      <c r="H7" s="14" t="s">
        <v>87</v>
      </c>
      <c r="I7" s="15" t="s">
        <v>75</v>
      </c>
      <c r="J7" s="18" t="s">
        <v>88</v>
      </c>
      <c r="K7" s="14"/>
      <c r="L7" s="14" t="s">
        <v>89</v>
      </c>
      <c r="N7" s="11" t="s">
        <v>82</v>
      </c>
      <c r="O7" s="12" t="n">
        <f aca="false">COUNTIF(J5:J34,"Confirmed")</f>
        <v>1</v>
      </c>
    </row>
    <row r="8" customFormat="false" ht="111.75" hidden="false" customHeight="true" outlineLevel="0" collapsed="false">
      <c r="A8" s="16" t="n">
        <v>4</v>
      </c>
      <c r="B8" s="16" t="s">
        <v>68</v>
      </c>
      <c r="C8" s="16" t="s">
        <v>69</v>
      </c>
      <c r="D8" s="16" t="s">
        <v>83</v>
      </c>
      <c r="E8" s="16" t="s">
        <v>90</v>
      </c>
      <c r="F8" s="16" t="s">
        <v>91</v>
      </c>
      <c r="G8" s="16" t="s">
        <v>92</v>
      </c>
      <c r="H8" s="16" t="s">
        <v>74</v>
      </c>
      <c r="I8" s="15" t="s">
        <v>75</v>
      </c>
      <c r="J8" s="18" t="s">
        <v>88</v>
      </c>
      <c r="K8" s="16"/>
      <c r="L8" s="16" t="s">
        <v>89</v>
      </c>
      <c r="N8" s="11" t="s">
        <v>88</v>
      </c>
      <c r="O8" s="12" t="n">
        <f aca="false">COUNTIF(J5:J34,"Updated")</f>
        <v>22</v>
      </c>
    </row>
    <row r="9" customFormat="false" ht="55.5" hidden="false" customHeight="true" outlineLevel="0" collapsed="false">
      <c r="A9" s="14" t="n">
        <v>5</v>
      </c>
      <c r="B9" s="14" t="s">
        <v>68</v>
      </c>
      <c r="C9" s="14" t="s">
        <v>69</v>
      </c>
      <c r="D9" s="14" t="s">
        <v>93</v>
      </c>
      <c r="E9" s="14" t="s">
        <v>94</v>
      </c>
      <c r="F9" s="14" t="s">
        <v>95</v>
      </c>
      <c r="G9" s="14" t="s">
        <v>96</v>
      </c>
      <c r="H9" s="14" t="s">
        <v>74</v>
      </c>
      <c r="I9" s="19" t="s">
        <v>97</v>
      </c>
      <c r="J9" s="18" t="s">
        <v>88</v>
      </c>
      <c r="K9" s="14"/>
      <c r="L9" s="14" t="s">
        <v>89</v>
      </c>
      <c r="N9" s="11" t="s">
        <v>98</v>
      </c>
      <c r="O9" s="12" t="n">
        <f aca="false">COUNTIF(J5:J34,"Wont Do")</f>
        <v>0</v>
      </c>
    </row>
    <row r="10" customFormat="false" ht="39.75" hidden="false" customHeight="true" outlineLevel="0" collapsed="false">
      <c r="A10" s="16" t="n">
        <v>6</v>
      </c>
      <c r="B10" s="16" t="s">
        <v>68</v>
      </c>
      <c r="C10" s="16" t="s">
        <v>69</v>
      </c>
      <c r="D10" s="16" t="s">
        <v>99</v>
      </c>
      <c r="E10" s="16" t="s">
        <v>100</v>
      </c>
      <c r="F10" s="16" t="s">
        <v>101</v>
      </c>
      <c r="G10" s="16" t="s">
        <v>102</v>
      </c>
      <c r="H10" s="16" t="s">
        <v>74</v>
      </c>
      <c r="I10" s="19" t="s">
        <v>97</v>
      </c>
      <c r="J10" s="18" t="s">
        <v>88</v>
      </c>
      <c r="K10" s="16"/>
      <c r="L10" s="16" t="s">
        <v>89</v>
      </c>
    </row>
    <row r="11" customFormat="false" ht="84" hidden="false" customHeight="true" outlineLevel="0" collapsed="false">
      <c r="A11" s="14" t="n">
        <v>7</v>
      </c>
      <c r="B11" s="14" t="s">
        <v>68</v>
      </c>
      <c r="C11" s="14" t="s">
        <v>69</v>
      </c>
      <c r="D11" s="14" t="s">
        <v>99</v>
      </c>
      <c r="E11" s="14" t="s">
        <v>103</v>
      </c>
      <c r="F11" s="14" t="s">
        <v>104</v>
      </c>
      <c r="G11" s="14" t="s">
        <v>105</v>
      </c>
      <c r="H11" s="14" t="s">
        <v>74</v>
      </c>
      <c r="I11" s="15" t="s">
        <v>75</v>
      </c>
      <c r="J11" s="18" t="s">
        <v>88</v>
      </c>
      <c r="K11" s="14"/>
      <c r="L11" s="14" t="s">
        <v>89</v>
      </c>
    </row>
    <row r="12" customFormat="false" ht="42" hidden="false" customHeight="true" outlineLevel="0" collapsed="false">
      <c r="A12" s="16" t="n">
        <v>8</v>
      </c>
      <c r="B12" s="16" t="s">
        <v>68</v>
      </c>
      <c r="C12" s="16" t="s">
        <v>69</v>
      </c>
      <c r="D12" s="16" t="s">
        <v>106</v>
      </c>
      <c r="E12" s="16" t="s">
        <v>107</v>
      </c>
      <c r="F12" s="16" t="s">
        <v>108</v>
      </c>
      <c r="G12" s="16" t="s">
        <v>109</v>
      </c>
      <c r="H12" s="16" t="s">
        <v>87</v>
      </c>
      <c r="I12" s="15" t="s">
        <v>75</v>
      </c>
      <c r="J12" s="18" t="s">
        <v>88</v>
      </c>
      <c r="K12" s="16"/>
      <c r="L12" s="16" t="s">
        <v>89</v>
      </c>
    </row>
    <row r="13" customFormat="false" ht="39.75" hidden="false" customHeight="true" outlineLevel="0" collapsed="false">
      <c r="A13" s="14" t="n">
        <v>9</v>
      </c>
      <c r="B13" s="14" t="s">
        <v>68</v>
      </c>
      <c r="C13" s="14" t="s">
        <v>69</v>
      </c>
      <c r="D13" s="14" t="s">
        <v>106</v>
      </c>
      <c r="E13" s="14" t="s">
        <v>110</v>
      </c>
      <c r="F13" s="14" t="s">
        <v>111</v>
      </c>
      <c r="G13" s="14" t="s">
        <v>112</v>
      </c>
      <c r="H13" s="14" t="s">
        <v>87</v>
      </c>
      <c r="I13" s="19" t="s">
        <v>97</v>
      </c>
      <c r="J13" s="18" t="s">
        <v>88</v>
      </c>
      <c r="K13" s="14"/>
      <c r="L13" s="14" t="s">
        <v>89</v>
      </c>
    </row>
    <row r="14" customFormat="false" ht="69.75" hidden="false" customHeight="true" outlineLevel="0" collapsed="false">
      <c r="A14" s="16" t="n">
        <v>10</v>
      </c>
      <c r="B14" s="16" t="s">
        <v>68</v>
      </c>
      <c r="C14" s="16" t="s">
        <v>69</v>
      </c>
      <c r="D14" s="16" t="s">
        <v>113</v>
      </c>
      <c r="E14" s="16" t="s">
        <v>114</v>
      </c>
      <c r="F14" s="16" t="s">
        <v>115</v>
      </c>
      <c r="G14" s="16" t="s">
        <v>116</v>
      </c>
      <c r="H14" s="16" t="s">
        <v>74</v>
      </c>
      <c r="I14" s="15" t="s">
        <v>75</v>
      </c>
      <c r="J14" s="18" t="s">
        <v>88</v>
      </c>
      <c r="K14" s="16"/>
      <c r="L14" s="16" t="s">
        <v>89</v>
      </c>
    </row>
    <row r="15" customFormat="false" ht="42" hidden="false" customHeight="true" outlineLevel="0" collapsed="false">
      <c r="A15" s="14" t="n">
        <v>11</v>
      </c>
      <c r="B15" s="14" t="s">
        <v>68</v>
      </c>
      <c r="C15" s="14" t="s">
        <v>69</v>
      </c>
      <c r="D15" s="14" t="s">
        <v>113</v>
      </c>
      <c r="E15" s="14" t="s">
        <v>117</v>
      </c>
      <c r="F15" s="14" t="s">
        <v>118</v>
      </c>
      <c r="G15" s="14" t="s">
        <v>119</v>
      </c>
      <c r="H15" s="14" t="s">
        <v>74</v>
      </c>
      <c r="I15" s="20" t="s">
        <v>81</v>
      </c>
      <c r="J15" s="18" t="s">
        <v>88</v>
      </c>
      <c r="K15" s="14"/>
      <c r="L15" s="14" t="s">
        <v>89</v>
      </c>
    </row>
    <row r="16" customFormat="false" ht="42" hidden="false" customHeight="true" outlineLevel="0" collapsed="false">
      <c r="A16" s="16" t="n">
        <v>12</v>
      </c>
      <c r="B16" s="16" t="s">
        <v>68</v>
      </c>
      <c r="C16" s="16" t="s">
        <v>69</v>
      </c>
      <c r="D16" s="16" t="s">
        <v>113</v>
      </c>
      <c r="E16" s="16" t="s">
        <v>120</v>
      </c>
      <c r="F16" s="16" t="s">
        <v>121</v>
      </c>
      <c r="G16" s="16" t="s">
        <v>122</v>
      </c>
      <c r="H16" s="16" t="s">
        <v>74</v>
      </c>
      <c r="I16" s="15" t="s">
        <v>75</v>
      </c>
      <c r="J16" s="18" t="s">
        <v>88</v>
      </c>
      <c r="K16" s="16"/>
      <c r="L16" s="16" t="s">
        <v>89</v>
      </c>
    </row>
    <row r="17" customFormat="false" ht="84" hidden="false" customHeight="true" outlineLevel="0" collapsed="false">
      <c r="A17" s="14" t="n">
        <v>13</v>
      </c>
      <c r="B17" s="14" t="s">
        <v>68</v>
      </c>
      <c r="C17" s="14" t="s">
        <v>69</v>
      </c>
      <c r="D17" s="14" t="s">
        <v>123</v>
      </c>
      <c r="E17" s="14" t="s">
        <v>124</v>
      </c>
      <c r="F17" s="14" t="s">
        <v>125</v>
      </c>
      <c r="G17" s="14" t="s">
        <v>126</v>
      </c>
      <c r="H17" s="14" t="s">
        <v>127</v>
      </c>
      <c r="I17" s="15" t="s">
        <v>75</v>
      </c>
      <c r="J17" s="21" t="s">
        <v>128</v>
      </c>
      <c r="K17" s="14"/>
      <c r="L17" s="14" t="s">
        <v>129</v>
      </c>
    </row>
    <row r="18" customFormat="false" ht="55.5" hidden="false" customHeight="true" outlineLevel="0" collapsed="false">
      <c r="A18" s="16" t="n">
        <v>14</v>
      </c>
      <c r="B18" s="16" t="s">
        <v>68</v>
      </c>
      <c r="C18" s="16" t="s">
        <v>69</v>
      </c>
      <c r="D18" s="16" t="s">
        <v>123</v>
      </c>
      <c r="E18" s="16" t="s">
        <v>130</v>
      </c>
      <c r="F18" s="16" t="s">
        <v>131</v>
      </c>
      <c r="G18" s="16" t="s">
        <v>132</v>
      </c>
      <c r="H18" s="16" t="s">
        <v>133</v>
      </c>
      <c r="I18" s="19" t="s">
        <v>97</v>
      </c>
      <c r="J18" s="15" t="s">
        <v>76</v>
      </c>
      <c r="K18" s="16"/>
      <c r="L18" s="16" t="s">
        <v>134</v>
      </c>
    </row>
    <row r="19" customFormat="false" ht="69.75" hidden="false" customHeight="true" outlineLevel="0" collapsed="false">
      <c r="A19" s="14" t="n">
        <v>15</v>
      </c>
      <c r="B19" s="14" t="s">
        <v>68</v>
      </c>
      <c r="C19" s="14" t="s">
        <v>69</v>
      </c>
      <c r="D19" s="14" t="s">
        <v>135</v>
      </c>
      <c r="E19" s="14" t="s">
        <v>136</v>
      </c>
      <c r="F19" s="14" t="s">
        <v>137</v>
      </c>
      <c r="G19" s="14" t="s">
        <v>138</v>
      </c>
      <c r="H19" s="14" t="s">
        <v>74</v>
      </c>
      <c r="I19" s="15" t="s">
        <v>75</v>
      </c>
      <c r="J19" s="18" t="s">
        <v>88</v>
      </c>
      <c r="K19" s="14"/>
      <c r="L19" s="14" t="s">
        <v>89</v>
      </c>
    </row>
    <row r="20" customFormat="false" ht="39.75" hidden="false" customHeight="true" outlineLevel="0" collapsed="false">
      <c r="A20" s="16" t="n">
        <v>16</v>
      </c>
      <c r="B20" s="16" t="s">
        <v>68</v>
      </c>
      <c r="C20" s="16" t="s">
        <v>69</v>
      </c>
      <c r="D20" s="16" t="s">
        <v>135</v>
      </c>
      <c r="E20" s="16" t="s">
        <v>139</v>
      </c>
      <c r="F20" s="16" t="s">
        <v>140</v>
      </c>
      <c r="G20" s="16" t="s">
        <v>141</v>
      </c>
      <c r="H20" s="16" t="s">
        <v>74</v>
      </c>
      <c r="I20" s="15" t="s">
        <v>75</v>
      </c>
      <c r="J20" s="15" t="s">
        <v>76</v>
      </c>
      <c r="K20" s="16"/>
      <c r="L20" s="16" t="s">
        <v>142</v>
      </c>
    </row>
    <row r="21" customFormat="false" ht="126" hidden="false" customHeight="true" outlineLevel="0" collapsed="false">
      <c r="A21" s="14" t="n">
        <v>17</v>
      </c>
      <c r="B21" s="14" t="s">
        <v>68</v>
      </c>
      <c r="C21" s="14" t="s">
        <v>69</v>
      </c>
      <c r="D21" s="14" t="s">
        <v>135</v>
      </c>
      <c r="E21" s="14" t="s">
        <v>143</v>
      </c>
      <c r="F21" s="14" t="s">
        <v>144</v>
      </c>
      <c r="G21" s="14" t="s">
        <v>145</v>
      </c>
      <c r="H21" s="14" t="s">
        <v>87</v>
      </c>
      <c r="I21" s="19" t="s">
        <v>97</v>
      </c>
      <c r="J21" s="18" t="s">
        <v>88</v>
      </c>
      <c r="K21" s="14"/>
      <c r="L21" s="14" t="s">
        <v>89</v>
      </c>
    </row>
    <row r="22" customFormat="false" ht="55.5" hidden="false" customHeight="true" outlineLevel="0" collapsed="false">
      <c r="A22" s="16" t="n">
        <v>18</v>
      </c>
      <c r="B22" s="16" t="s">
        <v>68</v>
      </c>
      <c r="C22" s="16" t="s">
        <v>69</v>
      </c>
      <c r="D22" s="16" t="s">
        <v>135</v>
      </c>
      <c r="E22" s="16" t="s">
        <v>146</v>
      </c>
      <c r="F22" s="16" t="s">
        <v>147</v>
      </c>
      <c r="G22" s="16" t="s">
        <v>148</v>
      </c>
      <c r="H22" s="16" t="s">
        <v>87</v>
      </c>
      <c r="I22" s="19" t="s">
        <v>97</v>
      </c>
      <c r="J22" s="18" t="s">
        <v>88</v>
      </c>
      <c r="K22" s="16"/>
      <c r="L22" s="16" t="s">
        <v>89</v>
      </c>
    </row>
    <row r="23" customFormat="false" ht="39.75" hidden="false" customHeight="true" outlineLevel="0" collapsed="false">
      <c r="A23" s="14" t="n">
        <v>19</v>
      </c>
      <c r="B23" s="14" t="s">
        <v>68</v>
      </c>
      <c r="C23" s="14" t="s">
        <v>69</v>
      </c>
      <c r="D23" s="14" t="s">
        <v>135</v>
      </c>
      <c r="E23" s="14" t="s">
        <v>149</v>
      </c>
      <c r="F23" s="14" t="s">
        <v>150</v>
      </c>
      <c r="G23" s="14" t="s">
        <v>151</v>
      </c>
      <c r="H23" s="14" t="s">
        <v>87</v>
      </c>
      <c r="I23" s="15" t="s">
        <v>75</v>
      </c>
      <c r="J23" s="18" t="s">
        <v>88</v>
      </c>
      <c r="K23" s="14"/>
      <c r="L23" s="14" t="s">
        <v>89</v>
      </c>
    </row>
    <row r="24" customFormat="false" ht="39.75" hidden="false" customHeight="true" outlineLevel="0" collapsed="false">
      <c r="A24" s="16" t="n">
        <v>20</v>
      </c>
      <c r="B24" s="16" t="s">
        <v>68</v>
      </c>
      <c r="C24" s="16" t="s">
        <v>69</v>
      </c>
      <c r="D24" s="16" t="s">
        <v>135</v>
      </c>
      <c r="E24" s="16" t="s">
        <v>152</v>
      </c>
      <c r="F24" s="16" t="s">
        <v>153</v>
      </c>
      <c r="G24" s="16" t="s">
        <v>154</v>
      </c>
      <c r="H24" s="16" t="s">
        <v>87</v>
      </c>
      <c r="I24" s="15" t="s">
        <v>75</v>
      </c>
      <c r="J24" s="18" t="s">
        <v>88</v>
      </c>
      <c r="K24" s="16"/>
      <c r="L24" s="16" t="s">
        <v>89</v>
      </c>
    </row>
    <row r="25" customFormat="false" ht="69.75" hidden="false" customHeight="true" outlineLevel="0" collapsed="false">
      <c r="A25" s="14" t="n">
        <v>21</v>
      </c>
      <c r="B25" s="14" t="s">
        <v>68</v>
      </c>
      <c r="C25" s="14" t="s">
        <v>69</v>
      </c>
      <c r="D25" s="14" t="s">
        <v>155</v>
      </c>
      <c r="E25" s="14" t="s">
        <v>156</v>
      </c>
      <c r="F25" s="14" t="s">
        <v>157</v>
      </c>
      <c r="G25" s="14" t="s">
        <v>158</v>
      </c>
      <c r="H25" s="14" t="s">
        <v>87</v>
      </c>
      <c r="I25" s="19" t="s">
        <v>97</v>
      </c>
      <c r="J25" s="18" t="s">
        <v>88</v>
      </c>
      <c r="K25" s="14"/>
      <c r="L25" s="14" t="s">
        <v>89</v>
      </c>
    </row>
    <row r="26" customFormat="false" ht="39.75" hidden="false" customHeight="true" outlineLevel="0" collapsed="false">
      <c r="A26" s="16" t="n">
        <v>22</v>
      </c>
      <c r="B26" s="16" t="s">
        <v>68</v>
      </c>
      <c r="C26" s="16" t="s">
        <v>69</v>
      </c>
      <c r="D26" s="16" t="s">
        <v>155</v>
      </c>
      <c r="E26" s="16" t="s">
        <v>159</v>
      </c>
      <c r="F26" s="16" t="s">
        <v>160</v>
      </c>
      <c r="G26" s="16" t="s">
        <v>161</v>
      </c>
      <c r="H26" s="16" t="s">
        <v>74</v>
      </c>
      <c r="I26" s="15" t="s">
        <v>75</v>
      </c>
      <c r="J26" s="15" t="s">
        <v>76</v>
      </c>
      <c r="K26" s="16"/>
      <c r="L26" s="16" t="s">
        <v>162</v>
      </c>
    </row>
    <row r="27" customFormat="false" ht="55.5" hidden="false" customHeight="true" outlineLevel="0" collapsed="false">
      <c r="A27" s="14" t="n">
        <v>23</v>
      </c>
      <c r="B27" s="14" t="s">
        <v>68</v>
      </c>
      <c r="C27" s="14" t="s">
        <v>69</v>
      </c>
      <c r="D27" s="14" t="s">
        <v>155</v>
      </c>
      <c r="E27" s="14" t="s">
        <v>163</v>
      </c>
      <c r="F27" s="14" t="s">
        <v>164</v>
      </c>
      <c r="G27" s="14" t="s">
        <v>165</v>
      </c>
      <c r="H27" s="14" t="s">
        <v>87</v>
      </c>
      <c r="I27" s="19" t="s">
        <v>97</v>
      </c>
      <c r="J27" s="18" t="s">
        <v>88</v>
      </c>
      <c r="K27" s="14"/>
      <c r="L27" s="14" t="s">
        <v>89</v>
      </c>
    </row>
    <row r="28" customFormat="false" ht="39.75" hidden="false" customHeight="true" outlineLevel="0" collapsed="false">
      <c r="A28" s="16" t="n">
        <v>24</v>
      </c>
      <c r="B28" s="16" t="s">
        <v>68</v>
      </c>
      <c r="C28" s="16" t="s">
        <v>69</v>
      </c>
      <c r="D28" s="16" t="s">
        <v>155</v>
      </c>
      <c r="E28" s="16" t="s">
        <v>166</v>
      </c>
      <c r="F28" s="16" t="s">
        <v>167</v>
      </c>
      <c r="G28" s="16" t="s">
        <v>168</v>
      </c>
      <c r="H28" s="16" t="s">
        <v>169</v>
      </c>
      <c r="I28" s="19" t="s">
        <v>97</v>
      </c>
      <c r="J28" s="15" t="s">
        <v>76</v>
      </c>
      <c r="K28" s="16"/>
      <c r="L28" s="16" t="s">
        <v>170</v>
      </c>
    </row>
    <row r="29" customFormat="false" ht="69.75" hidden="false" customHeight="true" outlineLevel="0" collapsed="false">
      <c r="A29" s="14" t="n">
        <v>25</v>
      </c>
      <c r="B29" s="14" t="s">
        <v>68</v>
      </c>
      <c r="C29" s="14" t="s">
        <v>69</v>
      </c>
      <c r="D29" s="14" t="s">
        <v>155</v>
      </c>
      <c r="E29" s="14" t="s">
        <v>171</v>
      </c>
      <c r="F29" s="14" t="s">
        <v>172</v>
      </c>
      <c r="G29" s="14" t="s">
        <v>173</v>
      </c>
      <c r="H29" s="14" t="s">
        <v>87</v>
      </c>
      <c r="I29" s="20" t="s">
        <v>81</v>
      </c>
      <c r="J29" s="18" t="s">
        <v>88</v>
      </c>
      <c r="K29" s="14"/>
      <c r="L29" s="14" t="s">
        <v>89</v>
      </c>
    </row>
    <row r="30" customFormat="false" ht="39.75" hidden="false" customHeight="true" outlineLevel="0" collapsed="false">
      <c r="A30" s="16" t="n">
        <v>26</v>
      </c>
      <c r="B30" s="16" t="s">
        <v>68</v>
      </c>
      <c r="C30" s="16" t="s">
        <v>69</v>
      </c>
      <c r="D30" s="16" t="s">
        <v>155</v>
      </c>
      <c r="E30" s="16" t="s">
        <v>174</v>
      </c>
      <c r="F30" s="16" t="s">
        <v>175</v>
      </c>
      <c r="G30" s="16" t="s">
        <v>176</v>
      </c>
      <c r="H30" s="16" t="s">
        <v>169</v>
      </c>
      <c r="I30" s="19" t="s">
        <v>97</v>
      </c>
      <c r="J30" s="15" t="s">
        <v>76</v>
      </c>
      <c r="K30" s="16"/>
      <c r="L30" s="16" t="s">
        <v>177</v>
      </c>
    </row>
    <row r="31" customFormat="false" ht="55.5" hidden="false" customHeight="true" outlineLevel="0" collapsed="false">
      <c r="A31" s="14" t="n">
        <v>27</v>
      </c>
      <c r="B31" s="14" t="s">
        <v>68</v>
      </c>
      <c r="C31" s="14" t="s">
        <v>69</v>
      </c>
      <c r="D31" s="14" t="s">
        <v>178</v>
      </c>
      <c r="E31" s="14" t="s">
        <v>179</v>
      </c>
      <c r="F31" s="14" t="s">
        <v>180</v>
      </c>
      <c r="G31" s="14" t="s">
        <v>181</v>
      </c>
      <c r="H31" s="14" t="s">
        <v>87</v>
      </c>
      <c r="I31" s="15" t="s">
        <v>75</v>
      </c>
      <c r="J31" s="18" t="s">
        <v>88</v>
      </c>
      <c r="K31" s="14"/>
      <c r="L31" s="14" t="s">
        <v>89</v>
      </c>
    </row>
    <row r="32" customFormat="false" ht="84" hidden="false" customHeight="true" outlineLevel="0" collapsed="false">
      <c r="A32" s="16" t="n">
        <v>28</v>
      </c>
      <c r="B32" s="16" t="s">
        <v>68</v>
      </c>
      <c r="C32" s="16" t="s">
        <v>69</v>
      </c>
      <c r="D32" s="16" t="s">
        <v>178</v>
      </c>
      <c r="E32" s="16" t="s">
        <v>182</v>
      </c>
      <c r="F32" s="16" t="s">
        <v>183</v>
      </c>
      <c r="G32" s="16" t="s">
        <v>184</v>
      </c>
      <c r="H32" s="16" t="s">
        <v>87</v>
      </c>
      <c r="I32" s="15" t="s">
        <v>75</v>
      </c>
      <c r="J32" s="18" t="s">
        <v>88</v>
      </c>
      <c r="K32" s="16"/>
      <c r="L32" s="16" t="s">
        <v>89</v>
      </c>
    </row>
    <row r="33" customFormat="false" ht="69.75" hidden="false" customHeight="true" outlineLevel="0" collapsed="false">
      <c r="A33" s="14" t="n">
        <v>29</v>
      </c>
      <c r="B33" s="14" t="s">
        <v>68</v>
      </c>
      <c r="C33" s="14" t="s">
        <v>69</v>
      </c>
      <c r="D33" s="14" t="s">
        <v>178</v>
      </c>
      <c r="E33" s="14" t="s">
        <v>185</v>
      </c>
      <c r="F33" s="14" t="s">
        <v>186</v>
      </c>
      <c r="G33" s="14" t="s">
        <v>187</v>
      </c>
      <c r="H33" s="14" t="s">
        <v>87</v>
      </c>
      <c r="I33" s="15" t="s">
        <v>75</v>
      </c>
      <c r="J33" s="18" t="s">
        <v>88</v>
      </c>
      <c r="K33" s="14"/>
      <c r="L33" s="14" t="s">
        <v>89</v>
      </c>
    </row>
    <row r="34" customFormat="false" ht="69.75" hidden="false" customHeight="true" outlineLevel="0" collapsed="false">
      <c r="A34" s="16" t="n">
        <v>30</v>
      </c>
      <c r="B34" s="16" t="s">
        <v>68</v>
      </c>
      <c r="C34" s="16" t="s">
        <v>69</v>
      </c>
      <c r="D34" s="16" t="s">
        <v>178</v>
      </c>
      <c r="E34" s="16" t="s">
        <v>188</v>
      </c>
      <c r="F34" s="16" t="s">
        <v>189</v>
      </c>
      <c r="G34" s="16" t="s">
        <v>190</v>
      </c>
      <c r="H34" s="16" t="s">
        <v>74</v>
      </c>
      <c r="I34" s="15" t="s">
        <v>75</v>
      </c>
      <c r="J34" s="18" t="s">
        <v>88</v>
      </c>
      <c r="K34" s="16"/>
      <c r="L34" s="16" t="s">
        <v>89</v>
      </c>
    </row>
  </sheetData>
  <autoFilter ref="A4:L34"/>
  <mergeCells count="3">
    <mergeCell ref="A1:L1"/>
    <mergeCell ref="N1:O1"/>
    <mergeCell ref="A2:L2"/>
  </mergeCells>
  <printOptions headings="false" gridLines="false" gridLinesSet="true" horizontalCentered="true" verticalCentered="false"/>
  <pageMargins left="0.75" right="0.75" top="1" bottom="1" header="0.511811023622047" footer="0.511811023622047"/>
  <pageSetup paperSize="4"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2026-05-16T04:32:29Z</dcterms:created>
  <dc:creator>openpyxl</dc:creator>
  <dc:description/>
  <dc:language>en-US</dc:language>
  <cp:lastModifiedBy/>
  <dcterms:modified xsi:type="dcterms:W3CDTF">2026-05-16T04:32:29Z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